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_DV" sheetId="1" state="hidden" r:id="rId1"/>
    <sheet xmlns:r="http://schemas.openxmlformats.org/officeDocument/2006/relationships" name="README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LASSES" sheetId="4" state="visible" r:id="rId4"/>
    <sheet xmlns:r="http://schemas.openxmlformats.org/officeDocument/2006/relationships" name="XP_TABLE" sheetId="5" state="visible" r:id="rId5"/>
    <sheet xmlns:r="http://schemas.openxmlformats.org/officeDocument/2006/relationships" name="MONSTROS" sheetId="6" state="visible" r:id="rId6"/>
    <sheet xmlns:r="http://schemas.openxmlformats.org/officeDocument/2006/relationships" name="EVOLUCOES" sheetId="7" state="visible" r:id="rId7"/>
    <sheet xmlns:r="http://schemas.openxmlformats.org/officeDocument/2006/relationships" name="HABILIDADES" sheetId="8" state="visible" r:id="rId8"/>
    <sheet xmlns:r="http://schemas.openxmlformats.org/officeDocument/2006/relationships" name="ITENS" sheetId="9" state="visible" r:id="rId9"/>
    <sheet xmlns:r="http://schemas.openxmlformats.org/officeDocument/2006/relationships" name="LOCAIS" sheetId="10" state="visible" r:id="rId10"/>
    <sheet xmlns:r="http://schemas.openxmlformats.org/officeDocument/2006/relationships" name="DROPS" sheetId="11" state="visible" r:id="rId11"/>
    <sheet xmlns:r="http://schemas.openxmlformats.org/officeDocument/2006/relationships" name="ENCOUNTERS" sheetId="12" state="visible" r:id="rId12"/>
    <sheet xmlns:r="http://schemas.openxmlformats.org/officeDocument/2006/relationships" name="QUESTS" sheetId="13" state="visible" r:id="rId13"/>
    <sheet xmlns:r="http://schemas.openxmlformats.org/officeDocument/2006/relationships" name="MASTER_CONTROLS" sheetId="14" state="visible" r:id="rId14"/>
    <sheet xmlns:r="http://schemas.openxmlformats.org/officeDocument/2006/relationships" name="TEST_SCENARIO" sheetId="15" state="visible" r:id="rId15"/>
    <sheet xmlns:r="http://schemas.openxmlformats.org/officeDocument/2006/relationships" name="RULES" sheetId="16" state="visible" r:id="rId16"/>
    <sheet xmlns:r="http://schemas.openxmlformats.org/officeDocument/2006/relationships" name="CAPTURE_TABL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</t>
        </is>
      </c>
      <c r="B1" s="1" t="inlineStr">
        <is>
          <t>raridade</t>
        </is>
      </c>
      <c r="C1" s="1" t="inlineStr">
        <is>
          <t>estagio</t>
        </is>
      </c>
      <c r="D1" s="1" t="inlineStr">
        <is>
          <t>alvo</t>
        </is>
      </c>
      <c r="E1" s="1" t="inlineStr">
        <is>
          <t>categoria_habilidade</t>
        </is>
      </c>
      <c r="F1" s="1" t="inlineStr">
        <is>
          <t>tipo_item</t>
        </is>
      </c>
      <c r="G1" s="1" t="inlineStr">
        <is>
          <t>tipo_encontro</t>
        </is>
      </c>
      <c r="H1" s="1" t="inlineStr">
        <is>
          <t>periodo</t>
        </is>
      </c>
      <c r="I1" s="1" t="inlineStr">
        <is>
          <t>status</t>
        </is>
      </c>
    </row>
    <row r="2">
      <c r="A2" t="inlineStr">
        <is>
          <t>Guerreiro</t>
        </is>
      </c>
      <c r="B2" t="inlineStr">
        <is>
          <t>Comum</t>
        </is>
      </c>
      <c r="C2" t="inlineStr">
        <is>
          <t>S1</t>
        </is>
      </c>
      <c r="D2" t="inlineStr">
        <is>
          <t>Inimigo</t>
        </is>
      </c>
      <c r="E2" t="inlineStr">
        <is>
          <t>Ataque</t>
        </is>
      </c>
      <c r="F2" t="inlineStr">
        <is>
          <t>Captura</t>
        </is>
      </c>
      <c r="G2" t="inlineStr">
        <is>
          <t>Selvagem</t>
        </is>
      </c>
      <c r="H2" t="inlineStr">
        <is>
          <t>Manhã</t>
        </is>
      </c>
      <c r="I2" t="inlineStr">
        <is>
          <t>Atordoado</t>
        </is>
      </c>
    </row>
    <row r="3">
      <c r="A3" t="inlineStr">
        <is>
          <t>Mago</t>
        </is>
      </c>
      <c r="B3" t="inlineStr">
        <is>
          <t>Incomum</t>
        </is>
      </c>
      <c r="C3" t="inlineStr">
        <is>
          <t>S2</t>
        </is>
      </c>
      <c r="D3" t="inlineStr">
        <is>
          <t>Aliado</t>
        </is>
      </c>
      <c r="E3" t="inlineStr">
        <is>
          <t>Suporte</t>
        </is>
      </c>
      <c r="F3" t="inlineStr">
        <is>
          <t>Cura</t>
        </is>
      </c>
      <c r="G3" t="inlineStr">
        <is>
          <t>Treinador</t>
        </is>
      </c>
      <c r="H3" t="inlineStr">
        <is>
          <t>Tarde</t>
        </is>
      </c>
      <c r="I3" t="inlineStr">
        <is>
          <t>Enraizado</t>
        </is>
      </c>
    </row>
    <row r="4">
      <c r="A4" t="inlineStr">
        <is>
          <t>Curandeiro</t>
        </is>
      </c>
      <c r="B4" t="inlineStr">
        <is>
          <t>Raro</t>
        </is>
      </c>
      <c r="C4" t="inlineStr">
        <is>
          <t>S3</t>
        </is>
      </c>
      <c r="D4" t="inlineStr">
        <is>
          <t>Self</t>
        </is>
      </c>
      <c r="E4" t="inlineStr">
        <is>
          <t>Controle</t>
        </is>
      </c>
      <c r="F4" t="inlineStr">
        <is>
          <t>Buff</t>
        </is>
      </c>
      <c r="G4" t="inlineStr">
        <is>
          <t>Boss</t>
        </is>
      </c>
      <c r="H4" t="inlineStr">
        <is>
          <t>Noite</t>
        </is>
      </c>
      <c r="I4" t="inlineStr">
        <is>
          <t>Envenenado</t>
        </is>
      </c>
    </row>
    <row r="5">
      <c r="A5" t="inlineStr">
        <is>
          <t>Bárbaro</t>
        </is>
      </c>
      <c r="B5" t="inlineStr">
        <is>
          <t>Místico</t>
        </is>
      </c>
      <c r="D5" t="inlineStr">
        <is>
          <t>Área</t>
        </is>
      </c>
      <c r="E5" t="inlineStr">
        <is>
          <t>Cura</t>
        </is>
      </c>
      <c r="F5" t="inlineStr">
        <is>
          <t>Reviver</t>
        </is>
      </c>
      <c r="H5" t="inlineStr">
        <is>
          <t>Qualquer</t>
        </is>
      </c>
      <c r="I5" t="inlineStr">
        <is>
          <t>Queimando</t>
        </is>
      </c>
    </row>
    <row r="6">
      <c r="A6" t="inlineStr">
        <is>
          <t>Ladino</t>
        </is>
      </c>
      <c r="B6" t="inlineStr">
        <is>
          <t>Lendário</t>
        </is>
      </c>
      <c r="F6" t="inlineStr">
        <is>
          <t>Chave</t>
        </is>
      </c>
      <c r="I6" t="inlineStr">
        <is>
          <t>Congelado</t>
        </is>
      </c>
    </row>
    <row r="7">
      <c r="A7" t="inlineStr">
        <is>
          <t>Bardo</t>
        </is>
      </c>
      <c r="F7" t="inlineStr">
        <is>
          <t>Lendário</t>
        </is>
      </c>
      <c r="I7" t="inlineStr">
        <is>
          <t>Fortalecido</t>
        </is>
      </c>
    </row>
    <row r="8">
      <c r="A8" t="inlineStr">
        <is>
          <t>Caçador</t>
        </is>
      </c>
      <c r="I8" t="inlineStr">
        <is>
          <t>Protegido</t>
        </is>
      </c>
    </row>
    <row r="9">
      <c r="A9" t="inlineStr">
        <is>
          <t>Animalista</t>
        </is>
      </c>
      <c r="I9" t="inlineStr">
        <is>
          <t>Acelerado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Monstrinhosmon — Planilha de Dados (v3)</t>
        </is>
      </c>
    </row>
    <row r="2"/>
    <row r="3">
      <c r="A3" s="3" t="inlineStr">
        <is>
          <t>Objetivo: este arquivo é a fonte de verdade (single source of truth) para os dados do jogo. Ideal para exportar para CSV/JSON e versionar no GitHub.</t>
        </is>
      </c>
    </row>
    <row r="4">
      <c r="A4" s="3" t="inlineStr">
        <is>
          <t>Correção de lógica aplicada: NÃO existe “tipo por elemento”. O tipo do monstrinho é CLASSE (Guerreiro, Mago, Curandeiro etc.).</t>
        </is>
      </c>
    </row>
    <row r="5">
      <c r="A5" s="3" t="inlineStr">
        <is>
          <t>Regra central: o Jogador tem CLASSE. Qualquer jogador pode CAPTURAR monstrinhos de qualquer classe, mas em BATALHA só pode USAR monstrinhos da própria classe (incentiva trocas). O Mestre pode sobrescrever via MASTER_CONTROLS (debug_allow_cross_class_battle).</t>
        </is>
      </c>
    </row>
    <row r="6">
      <c r="A6" t="inlineStr">
        <is>
          <t>Captura: sem d20. A captura é automática comparando HP% com limite por raridade + bônus do item (veja RULES e CAPTURE_TABLE).</t>
        </is>
      </c>
    </row>
    <row r="7">
      <c r="A7" s="3" t="inlineStr"/>
    </row>
    <row r="8">
      <c r="A8" s="3" t="inlineStr">
        <is>
          <t>Aba TEST_SCENARIO tem um primeiro teste completo: Quest + Combate + Captura.</t>
        </is>
      </c>
    </row>
    <row r="9">
      <c r="A9" s="3" t="inlineStr"/>
    </row>
    <row r="10">
      <c r="A10" s="3" t="inlineStr">
        <is>
          <t>Atenção: alguns IDs de evolução estão como placeholder (porque as formas S2/S3 ainda não foram cadastradas). Você pode preencher depois seguindo o padrão MON_XXXB, MON_XXXC etc.</t>
        </is>
      </c>
    </row>
    <row r="11"/>
    <row r="12"/>
    <row r="13"/>
    <row r="14"/>
    <row r="1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72" customWidth="1" min="4" max="4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type</t>
        </is>
      </c>
      <c r="D1" s="1" t="inlineStr">
        <is>
          <t>description</t>
        </is>
      </c>
    </row>
    <row r="2">
      <c r="A2" s="4" t="inlineStr">
        <is>
          <t>max_level</t>
        </is>
      </c>
      <c r="B2" s="4" t="n">
        <v>100</v>
      </c>
      <c r="C2" s="4" t="inlineStr">
        <is>
          <t>int</t>
        </is>
      </c>
      <c r="D2" s="4" t="inlineStr">
        <is>
          <t>Nível máximo do monstrinho</t>
        </is>
      </c>
    </row>
    <row r="3">
      <c r="A3" s="4" t="inlineStr">
        <is>
          <t>xp_base</t>
        </is>
      </c>
      <c r="B3" s="4" t="n">
        <v>60</v>
      </c>
      <c r="C3" s="4" t="inlineStr">
        <is>
          <t>int</t>
        </is>
      </c>
      <c r="D3" s="4" t="inlineStr">
        <is>
          <t>XP base para o nível 1→2 (modelo padrão)</t>
        </is>
      </c>
    </row>
    <row r="4">
      <c r="A4" s="4" t="inlineStr">
        <is>
          <t>xp_growth</t>
        </is>
      </c>
      <c r="B4" s="4" t="n">
        <v>1.15</v>
      </c>
      <c r="C4" s="4" t="inlineStr">
        <is>
          <t>float</t>
        </is>
      </c>
      <c r="D4" s="4" t="inlineStr">
        <is>
          <t>Multiplicador de crescimento do XP por nível (modelo padrão)</t>
        </is>
      </c>
    </row>
    <row r="5">
      <c r="A5" s="4" t="inlineStr">
        <is>
          <t>capture_base_rate</t>
        </is>
      </c>
      <c r="B5" s="4" t="n">
        <v>0.35</v>
      </c>
      <c r="C5" s="4" t="inlineStr">
        <is>
          <t>float</t>
        </is>
      </c>
      <c r="D5" s="4" t="inlineStr">
        <is>
          <t>Chance base de captura antes de modificadores</t>
        </is>
      </c>
    </row>
    <row r="6">
      <c r="A6" s="4" t="inlineStr">
        <is>
          <t>capture_hp_bonus_max</t>
        </is>
      </c>
      <c r="B6" s="4" t="n">
        <v>0.25</v>
      </c>
      <c r="C6" s="4" t="inlineStr">
        <is>
          <t>float</t>
        </is>
      </c>
      <c r="D6" s="4" t="inlineStr">
        <is>
          <t>Bônus máximo por HP baixo (ex.: +0.25 quando HP% muito baixo)</t>
        </is>
      </c>
    </row>
    <row r="7">
      <c r="A7" s="4" t="inlineStr">
        <is>
          <t>master_xp_multiplier</t>
        </is>
      </c>
      <c r="B7" s="4" t="n">
        <v>1</v>
      </c>
      <c r="C7" s="4" t="inlineStr">
        <is>
          <t>float</t>
        </is>
      </c>
      <c r="D7" s="4" t="inlineStr">
        <is>
          <t>Multiplicador global de XP (ajuste rápido do Mestre)</t>
        </is>
      </c>
    </row>
    <row r="8">
      <c r="A8" s="4" t="inlineStr">
        <is>
          <t>master_enemy_stat_multiplier</t>
        </is>
      </c>
      <c r="B8" s="4" t="n">
        <v>1</v>
      </c>
      <c r="C8" s="4" t="inlineStr">
        <is>
          <t>float</t>
        </is>
      </c>
      <c r="D8" s="4" t="inlineStr">
        <is>
          <t>Multiplicador global de stats inimigos (ajuste rápido do Mestre)</t>
        </is>
      </c>
    </row>
    <row r="9">
      <c r="A9" s="4" t="inlineStr">
        <is>
          <t>master_capture_multiplier</t>
        </is>
      </c>
      <c r="B9" s="4" t="n">
        <v>1</v>
      </c>
      <c r="C9" s="4" t="inlineStr">
        <is>
          <t>float</t>
        </is>
      </c>
      <c r="D9" s="4" t="inlineStr">
        <is>
          <t>Multiplicador global de captura (ajuste rápido do Mestre)</t>
        </is>
      </c>
    </row>
    <row r="10">
      <c r="A10" s="4" t="inlineStr">
        <is>
          <t>starter_evo_levels</t>
        </is>
      </c>
      <c r="B10" s="4" t="inlineStr">
        <is>
          <t>12;25;45</t>
        </is>
      </c>
      <c r="C10" s="4" t="inlineStr">
        <is>
          <t>text</t>
        </is>
      </c>
      <c r="D10" s="4" t="inlineStr">
        <is>
          <t>Níveis de evolução automáticos para iniciais (se tiverem 3 evoluções)</t>
        </is>
      </c>
    </row>
    <row r="11">
      <c r="A11" s="4" t="inlineStr">
        <is>
          <t>nonstarter_evo_levels</t>
        </is>
      </c>
      <c r="B11" s="4" t="inlineStr">
        <is>
          <t>15;30</t>
        </is>
      </c>
      <c r="C11" s="4" t="inlineStr">
        <is>
          <t>text</t>
        </is>
      </c>
      <c r="D11" s="4" t="inlineStr">
        <is>
          <t>Níveis de evolução automáticos para não-iniciais (S1→S2; S2→S3)</t>
        </is>
      </c>
    </row>
    <row r="12">
      <c r="A12" t="inlineStr">
        <is>
          <t>capture_model</t>
        </is>
      </c>
      <c r="B12" t="inlineStr">
        <is>
          <t>threshold_no_dice</t>
        </is>
      </c>
      <c r="C12" t="inlineStr">
        <is>
          <t>text</t>
        </is>
      </c>
      <c r="D12" t="inlineStr">
        <is>
          <t>Modelo de captura sem dado: compara HP% com limite por raridade + bônus.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44" customWidth="1" min="10" max="10"/>
  </cols>
  <sheetData>
    <row r="1">
      <c r="A1" s="1" t="inlineStr">
        <is>
          <t>class_id</t>
        </is>
      </c>
      <c r="B1" s="1" t="inlineStr">
        <is>
          <t>nome</t>
        </is>
      </c>
      <c r="C1" s="1" t="inlineStr">
        <is>
          <t>descricao_curta</t>
        </is>
      </c>
      <c r="D1" s="1" t="inlineStr">
        <is>
          <t>growth_hp</t>
        </is>
      </c>
      <c r="E1" s="1" t="inlineStr">
        <is>
          <t>growth_atk</t>
        </is>
      </c>
      <c r="F1" s="1" t="inlineStr">
        <is>
          <t>growth_def</t>
        </is>
      </c>
      <c r="G1" s="1" t="inlineStr">
        <is>
          <t>growth_spd</t>
        </is>
      </c>
      <c r="H1" s="1" t="inlineStr">
        <is>
          <t>growth_ene</t>
        </is>
      </c>
      <c r="I1" s="1" t="inlineStr">
        <is>
          <t>capture_rule</t>
        </is>
      </c>
      <c r="J1" s="1" t="inlineStr">
        <is>
          <t>capture_notes</t>
        </is>
      </c>
      <c r="K1" t="inlineStr">
        <is>
          <t>battle_deploy_rule</t>
        </is>
      </c>
      <c r="L1" t="inlineStr">
        <is>
          <t>battle_notes</t>
        </is>
      </c>
    </row>
    <row r="2">
      <c r="A2" s="4" t="inlineStr">
        <is>
          <t>CLS_WAR</t>
        </is>
      </c>
      <c r="B2" s="4" t="inlineStr">
        <is>
          <t>Guerreiro</t>
        </is>
      </c>
      <c r="C2" s="4" t="inlineStr">
        <is>
          <t>Resistente, combate corpo a corpo.</t>
        </is>
      </c>
      <c r="D2" s="4" t="n">
        <v>6</v>
      </c>
      <c r="E2" s="4" t="n">
        <v>3</v>
      </c>
      <c r="F2" s="4" t="n">
        <v>4</v>
      </c>
      <c r="G2" s="4" t="n">
        <v>2</v>
      </c>
      <c r="H2" s="4" t="n">
        <v>2</v>
      </c>
      <c r="I2" s="4" t="inlineStr">
        <is>
          <t>Any</t>
        </is>
      </c>
      <c r="J2" s="4" t="inlineStr">
        <is>
          <t>Qualquer jogador pode capturar monstros de qualquer classe.</t>
        </is>
      </c>
      <c r="K2" t="inlineStr">
        <is>
          <t>SelfOnly</t>
        </is>
      </c>
      <c r="L2" t="inlineStr">
        <is>
          <t>Em batalha, só pode usar monstros da mesma classe do jogador (incentiva trocas).</t>
        </is>
      </c>
    </row>
    <row r="3">
      <c r="A3" s="4" t="inlineStr">
        <is>
          <t>CLS_MAG</t>
        </is>
      </c>
      <c r="B3" s="4" t="inlineStr">
        <is>
          <t>Mago</t>
        </is>
      </c>
      <c r="C3" s="4" t="inlineStr">
        <is>
          <t>Dano mágico e controle.</t>
        </is>
      </c>
      <c r="D3" s="4" t="n">
        <v>4</v>
      </c>
      <c r="E3" s="4" t="n">
        <v>5</v>
      </c>
      <c r="F3" s="4" t="n">
        <v>2</v>
      </c>
      <c r="G3" s="4" t="n">
        <v>2</v>
      </c>
      <c r="H3" s="4" t="n">
        <v>5</v>
      </c>
      <c r="I3" s="4" t="inlineStr">
        <is>
          <t>Any</t>
        </is>
      </c>
      <c r="J3" s="4" t="inlineStr">
        <is>
          <t>Qualquer jogador pode capturar monstros de qualquer classe.</t>
        </is>
      </c>
      <c r="K3" t="inlineStr">
        <is>
          <t>SelfOnly</t>
        </is>
      </c>
      <c r="L3" t="inlineStr">
        <is>
          <t>Em batalha, só pode usar monstros da mesma classe do jogador (incentiva trocas).</t>
        </is>
      </c>
    </row>
    <row r="4">
      <c r="A4" s="4" t="inlineStr">
        <is>
          <t>CLS_HEA</t>
        </is>
      </c>
      <c r="B4" s="4" t="inlineStr">
        <is>
          <t>Curandeiro</t>
        </is>
      </c>
      <c r="C4" s="4" t="inlineStr">
        <is>
          <t>Suporte e cura.</t>
        </is>
      </c>
      <c r="D4" s="4" t="n">
        <v>5</v>
      </c>
      <c r="E4" s="4" t="n">
        <v>2</v>
      </c>
      <c r="F4" s="4" t="n">
        <v>2</v>
      </c>
      <c r="G4" s="4" t="n">
        <v>2</v>
      </c>
      <c r="H4" s="4" t="n">
        <v>6</v>
      </c>
      <c r="I4" s="4" t="inlineStr">
        <is>
          <t>Any</t>
        </is>
      </c>
      <c r="J4" s="4" t="inlineStr">
        <is>
          <t>Qualquer jogador pode capturar monstros de qualquer classe.</t>
        </is>
      </c>
      <c r="K4" t="inlineStr">
        <is>
          <t>SelfOnly</t>
        </is>
      </c>
      <c r="L4" t="inlineStr">
        <is>
          <t>Em batalha, só pode usar monstros da mesma classe do jogador (incentiva trocas).</t>
        </is>
      </c>
    </row>
    <row r="5">
      <c r="A5" s="4" t="inlineStr">
        <is>
          <t>CLS_BAR</t>
        </is>
      </c>
      <c r="B5" s="4" t="inlineStr">
        <is>
          <t>Bárbaro</t>
        </is>
      </c>
      <c r="C5" s="4" t="inlineStr">
        <is>
          <t>Alta força, risco/recompensa.</t>
        </is>
      </c>
      <c r="D5" s="4" t="n">
        <v>6</v>
      </c>
      <c r="E5" s="4" t="n">
        <v>5</v>
      </c>
      <c r="F5" s="4" t="n">
        <v>2</v>
      </c>
      <c r="G5" s="4" t="n">
        <v>2</v>
      </c>
      <c r="H5" s="4" t="n">
        <v>2</v>
      </c>
      <c r="I5" s="4" t="inlineStr">
        <is>
          <t>Any</t>
        </is>
      </c>
      <c r="J5" s="4" t="inlineStr">
        <is>
          <t>Qualquer jogador pode capturar monstros de qualquer classe.</t>
        </is>
      </c>
      <c r="K5" t="inlineStr">
        <is>
          <t>SelfOnly</t>
        </is>
      </c>
      <c r="L5" t="inlineStr">
        <is>
          <t>Em batalha, só pode usar monstros da mesma classe do jogador (incentiva trocas).</t>
        </is>
      </c>
    </row>
    <row r="6">
      <c r="A6" s="4" t="inlineStr">
        <is>
          <t>CLS_ROG</t>
        </is>
      </c>
      <c r="B6" s="4" t="inlineStr">
        <is>
          <t>Ladino</t>
        </is>
      </c>
      <c r="C6" s="4" t="inlineStr">
        <is>
          <t>Velocidade, crítico, furtividade.</t>
        </is>
      </c>
      <c r="D6" s="4" t="n">
        <v>4</v>
      </c>
      <c r="E6" s="4" t="n">
        <v>4</v>
      </c>
      <c r="F6" s="4" t="n">
        <v>2</v>
      </c>
      <c r="G6" s="4" t="n">
        <v>5</v>
      </c>
      <c r="H6" s="4" t="n">
        <v>2</v>
      </c>
      <c r="I6" s="4" t="inlineStr">
        <is>
          <t>Any</t>
        </is>
      </c>
      <c r="J6" s="4" t="inlineStr">
        <is>
          <t>Qualquer jogador pode capturar monstros de qualquer classe.</t>
        </is>
      </c>
      <c r="K6" t="inlineStr">
        <is>
          <t>SelfOnly</t>
        </is>
      </c>
      <c r="L6" t="inlineStr">
        <is>
          <t>Em batalha, só pode usar monstros da mesma classe do jogador (incentiva trocas).</t>
        </is>
      </c>
    </row>
    <row r="7">
      <c r="A7" s="4" t="inlineStr">
        <is>
          <t>CLS_BRD</t>
        </is>
      </c>
      <c r="B7" s="4" t="inlineStr">
        <is>
          <t>Bardo</t>
        </is>
      </c>
      <c r="C7" s="4" t="inlineStr">
        <is>
          <t>Alcance longo, buffs/debuffs.</t>
        </is>
      </c>
      <c r="D7" s="4" t="n">
        <v>4</v>
      </c>
      <c r="E7" s="4" t="n">
        <v>3</v>
      </c>
      <c r="F7" s="4" t="n">
        <v>2</v>
      </c>
      <c r="G7" s="4" t="n">
        <v>3</v>
      </c>
      <c r="H7" s="4" t="n">
        <v>4</v>
      </c>
      <c r="I7" s="4" t="inlineStr">
        <is>
          <t>Any</t>
        </is>
      </c>
      <c r="J7" s="4" t="inlineStr">
        <is>
          <t>Qualquer jogador pode capturar monstros de qualquer classe.</t>
        </is>
      </c>
      <c r="K7" t="inlineStr">
        <is>
          <t>SelfOnly</t>
        </is>
      </c>
      <c r="L7" t="inlineStr">
        <is>
          <t>Em batalha, só pode usar monstros da mesma classe do jogador (incentiva trocas).</t>
        </is>
      </c>
    </row>
    <row r="8">
      <c r="A8" s="4" t="inlineStr">
        <is>
          <t>CLS_HUN</t>
        </is>
      </c>
      <c r="B8" s="4" t="inlineStr">
        <is>
          <t>Caçador</t>
        </is>
      </c>
      <c r="C8" s="4" t="inlineStr">
        <is>
          <t>Alcance longo, dano consistente.</t>
        </is>
      </c>
      <c r="D8" s="4" t="n">
        <v>5</v>
      </c>
      <c r="E8" s="4" t="n">
        <v>4</v>
      </c>
      <c r="F8" s="4" t="n">
        <v>2</v>
      </c>
      <c r="G8" s="4" t="n">
        <v>4</v>
      </c>
      <c r="H8" s="4" t="n">
        <v>3</v>
      </c>
      <c r="I8" s="4" t="inlineStr">
        <is>
          <t>Any</t>
        </is>
      </c>
      <c r="J8" s="4" t="inlineStr">
        <is>
          <t>Qualquer jogador pode capturar monstros de qualquer classe.</t>
        </is>
      </c>
      <c r="K8" t="inlineStr">
        <is>
          <t>SelfOnly</t>
        </is>
      </c>
      <c r="L8" t="inlineStr">
        <is>
          <t>Em batalha, só pode usar monstros da mesma classe do jogador (incentiva trocas).</t>
        </is>
      </c>
    </row>
    <row r="9">
      <c r="A9" s="4" t="inlineStr">
        <is>
          <t>CLS_ANM</t>
        </is>
      </c>
      <c r="B9" s="4" t="inlineStr">
        <is>
          <t>Animalista</t>
        </is>
      </c>
      <c r="C9" s="4" t="inlineStr">
        <is>
          <t>Curto alcance, versátil.</t>
        </is>
      </c>
      <c r="D9" s="4" t="n">
        <v>6</v>
      </c>
      <c r="E9" s="4" t="n">
        <v>3</v>
      </c>
      <c r="F9" s="4" t="n">
        <v>3</v>
      </c>
      <c r="G9" s="4" t="n">
        <v>3</v>
      </c>
      <c r="H9" s="4" t="n">
        <v>3</v>
      </c>
      <c r="I9" s="4" t="inlineStr">
        <is>
          <t>Any</t>
        </is>
      </c>
      <c r="J9" s="4" t="inlineStr">
        <is>
          <t>Qualquer jogador pode capturar monstros de qualquer classe.</t>
        </is>
      </c>
      <c r="K9" t="inlineStr">
        <is>
          <t>SelfOnly</t>
        </is>
      </c>
      <c r="L9" t="inlineStr">
        <is>
          <t>Em batalha, só pode usar monstros da mesma classe do jogador (incentiva trocas).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</cols>
  <sheetData>
    <row r="1">
      <c r="A1" s="1" t="inlineStr">
        <is>
          <t>level</t>
        </is>
      </c>
      <c r="B1" s="1" t="inlineStr">
        <is>
          <t>xp_to_next</t>
        </is>
      </c>
      <c r="C1" s="1" t="inlineStr">
        <is>
          <t>xp_total</t>
        </is>
      </c>
    </row>
    <row r="2">
      <c r="A2" s="5" t="n">
        <v>1</v>
      </c>
      <c r="B2" s="5">
        <f>ROUND(VLOOKUP("xp_base",CONFIG!A:B,2,FALSE)*POWER(VLOOKUP("xp_growth",CONFIG!A:B,2,FALSE),A2-1),0)</f>
        <v/>
      </c>
      <c r="C2" s="5">
        <f>C1+IF(B1="",0,B1)</f>
        <v/>
      </c>
    </row>
    <row r="3">
      <c r="A3" s="5" t="n">
        <v>2</v>
      </c>
      <c r="B3" s="5">
        <f>ROUND(VLOOKUP("xp_base",CONFIG!A:B,2,FALSE)*POWER(VLOOKUP("xp_growth",CONFIG!A:B,2,FALSE),A3-1),0)</f>
        <v/>
      </c>
      <c r="C3" s="5">
        <f>C2+IF(B2="",0,B2)</f>
        <v/>
      </c>
    </row>
    <row r="4">
      <c r="A4" s="5" t="n">
        <v>3</v>
      </c>
      <c r="B4" s="5">
        <f>ROUND(VLOOKUP("xp_base",CONFIG!A:B,2,FALSE)*POWER(VLOOKUP("xp_growth",CONFIG!A:B,2,FALSE),A4-1),0)</f>
        <v/>
      </c>
      <c r="C4" s="5">
        <f>C3+IF(B3="",0,B3)</f>
        <v/>
      </c>
    </row>
    <row r="5">
      <c r="A5" s="5" t="n">
        <v>4</v>
      </c>
      <c r="B5" s="5">
        <f>ROUND(VLOOKUP("xp_base",CONFIG!A:B,2,FALSE)*POWER(VLOOKUP("xp_growth",CONFIG!A:B,2,FALSE),A5-1),0)</f>
        <v/>
      </c>
      <c r="C5" s="5">
        <f>C4+IF(B4="",0,B4)</f>
        <v/>
      </c>
    </row>
    <row r="6">
      <c r="A6" s="5" t="n">
        <v>5</v>
      </c>
      <c r="B6" s="5">
        <f>ROUND(VLOOKUP("xp_base",CONFIG!A:B,2,FALSE)*POWER(VLOOKUP("xp_growth",CONFIG!A:B,2,FALSE),A6-1),0)</f>
        <v/>
      </c>
      <c r="C6" s="5">
        <f>C5+IF(B5="",0,B5)</f>
        <v/>
      </c>
    </row>
    <row r="7">
      <c r="A7" s="5" t="n">
        <v>6</v>
      </c>
      <c r="B7" s="5">
        <f>ROUND(VLOOKUP("xp_base",CONFIG!A:B,2,FALSE)*POWER(VLOOKUP("xp_growth",CONFIG!A:B,2,FALSE),A7-1),0)</f>
        <v/>
      </c>
      <c r="C7" s="5">
        <f>C6+IF(B6="",0,B6)</f>
        <v/>
      </c>
    </row>
    <row r="8">
      <c r="A8" s="5" t="n">
        <v>7</v>
      </c>
      <c r="B8" s="5">
        <f>ROUND(VLOOKUP("xp_base",CONFIG!A:B,2,FALSE)*POWER(VLOOKUP("xp_growth",CONFIG!A:B,2,FALSE),A8-1),0)</f>
        <v/>
      </c>
      <c r="C8" s="5">
        <f>C7+IF(B7="",0,B7)</f>
        <v/>
      </c>
    </row>
    <row r="9">
      <c r="A9" s="5" t="n">
        <v>8</v>
      </c>
      <c r="B9" s="5">
        <f>ROUND(VLOOKUP("xp_base",CONFIG!A:B,2,FALSE)*POWER(VLOOKUP("xp_growth",CONFIG!A:B,2,FALSE),A9-1),0)</f>
        <v/>
      </c>
      <c r="C9" s="5">
        <f>C8+IF(B8="",0,B8)</f>
        <v/>
      </c>
    </row>
    <row r="10">
      <c r="A10" s="5" t="n">
        <v>9</v>
      </c>
      <c r="B10" s="5">
        <f>ROUND(VLOOKUP("xp_base",CONFIG!A:B,2,FALSE)*POWER(VLOOKUP("xp_growth",CONFIG!A:B,2,FALSE),A10-1),0)</f>
        <v/>
      </c>
      <c r="C10" s="5">
        <f>C9+IF(B9="",0,B9)</f>
        <v/>
      </c>
    </row>
    <row r="11">
      <c r="A11" s="5" t="n">
        <v>10</v>
      </c>
      <c r="B11" s="5">
        <f>ROUND(VLOOKUP("xp_base",CONFIG!A:B,2,FALSE)*POWER(VLOOKUP("xp_growth",CONFIG!A:B,2,FALSE),A11-1),0)</f>
        <v/>
      </c>
      <c r="C11" s="5">
        <f>C10+IF(B10="",0,B10)</f>
        <v/>
      </c>
    </row>
    <row r="12">
      <c r="A12" s="5" t="n">
        <v>11</v>
      </c>
      <c r="B12" s="5">
        <f>ROUND(VLOOKUP("xp_base",CONFIG!A:B,2,FALSE)*POWER(VLOOKUP("xp_growth",CONFIG!A:B,2,FALSE),A12-1),0)</f>
        <v/>
      </c>
      <c r="C12" s="5">
        <f>C11+IF(B11="",0,B11)</f>
        <v/>
      </c>
    </row>
    <row r="13">
      <c r="A13" s="5" t="n">
        <v>12</v>
      </c>
      <c r="B13" s="5">
        <f>ROUND(VLOOKUP("xp_base",CONFIG!A:B,2,FALSE)*POWER(VLOOKUP("xp_growth",CONFIG!A:B,2,FALSE),A13-1),0)</f>
        <v/>
      </c>
      <c r="C13" s="5">
        <f>C12+IF(B12="",0,B12)</f>
        <v/>
      </c>
    </row>
    <row r="14">
      <c r="A14" s="5" t="n">
        <v>13</v>
      </c>
      <c r="B14" s="5">
        <f>ROUND(VLOOKUP("xp_base",CONFIG!A:B,2,FALSE)*POWER(VLOOKUP("xp_growth",CONFIG!A:B,2,FALSE),A14-1),0)</f>
        <v/>
      </c>
      <c r="C14" s="5">
        <f>C13+IF(B13="",0,B13)</f>
        <v/>
      </c>
    </row>
    <row r="15">
      <c r="A15" s="5" t="n">
        <v>14</v>
      </c>
      <c r="B15" s="5">
        <f>ROUND(VLOOKUP("xp_base",CONFIG!A:B,2,FALSE)*POWER(VLOOKUP("xp_growth",CONFIG!A:B,2,FALSE),A15-1),0)</f>
        <v/>
      </c>
      <c r="C15" s="5">
        <f>C14+IF(B14="",0,B14)</f>
        <v/>
      </c>
    </row>
    <row r="16">
      <c r="A16" s="5" t="n">
        <v>15</v>
      </c>
      <c r="B16" s="5">
        <f>ROUND(VLOOKUP("xp_base",CONFIG!A:B,2,FALSE)*POWER(VLOOKUP("xp_growth",CONFIG!A:B,2,FALSE),A16-1),0)</f>
        <v/>
      </c>
      <c r="C16" s="5">
        <f>C15+IF(B15="",0,B15)</f>
        <v/>
      </c>
    </row>
    <row r="17">
      <c r="A17" s="5" t="n">
        <v>16</v>
      </c>
      <c r="B17" s="5">
        <f>ROUND(VLOOKUP("xp_base",CONFIG!A:B,2,FALSE)*POWER(VLOOKUP("xp_growth",CONFIG!A:B,2,FALSE),A17-1),0)</f>
        <v/>
      </c>
      <c r="C17" s="5">
        <f>C16+IF(B16="",0,B16)</f>
        <v/>
      </c>
    </row>
    <row r="18">
      <c r="A18" s="5" t="n">
        <v>17</v>
      </c>
      <c r="B18" s="5">
        <f>ROUND(VLOOKUP("xp_base",CONFIG!A:B,2,FALSE)*POWER(VLOOKUP("xp_growth",CONFIG!A:B,2,FALSE),A18-1),0)</f>
        <v/>
      </c>
      <c r="C18" s="5">
        <f>C17+IF(B17="",0,B17)</f>
        <v/>
      </c>
    </row>
    <row r="19">
      <c r="A19" s="5" t="n">
        <v>18</v>
      </c>
      <c r="B19" s="5">
        <f>ROUND(VLOOKUP("xp_base",CONFIG!A:B,2,FALSE)*POWER(VLOOKUP("xp_growth",CONFIG!A:B,2,FALSE),A19-1),0)</f>
        <v/>
      </c>
      <c r="C19" s="5">
        <f>C18+IF(B18="",0,B18)</f>
        <v/>
      </c>
    </row>
    <row r="20">
      <c r="A20" s="5" t="n">
        <v>19</v>
      </c>
      <c r="B20" s="5">
        <f>ROUND(VLOOKUP("xp_base",CONFIG!A:B,2,FALSE)*POWER(VLOOKUP("xp_growth",CONFIG!A:B,2,FALSE),A20-1),0)</f>
        <v/>
      </c>
      <c r="C20" s="5">
        <f>C19+IF(B19="",0,B19)</f>
        <v/>
      </c>
    </row>
    <row r="21">
      <c r="A21" s="5" t="n">
        <v>20</v>
      </c>
      <c r="B21" s="5">
        <f>ROUND(VLOOKUP("xp_base",CONFIG!A:B,2,FALSE)*POWER(VLOOKUP("xp_growth",CONFIG!A:B,2,FALSE),A21-1),0)</f>
        <v/>
      </c>
      <c r="C21" s="5">
        <f>C20+IF(B20="",0,B20)</f>
        <v/>
      </c>
    </row>
    <row r="22">
      <c r="A22" s="5" t="n">
        <v>21</v>
      </c>
      <c r="B22" s="5">
        <f>ROUND(VLOOKUP("xp_base",CONFIG!A:B,2,FALSE)*POWER(VLOOKUP("xp_growth",CONFIG!A:B,2,FALSE),A22-1),0)</f>
        <v/>
      </c>
      <c r="C22" s="5">
        <f>C21+IF(B21="",0,B21)</f>
        <v/>
      </c>
    </row>
    <row r="23">
      <c r="A23" s="5" t="n">
        <v>22</v>
      </c>
      <c r="B23" s="5">
        <f>ROUND(VLOOKUP("xp_base",CONFIG!A:B,2,FALSE)*POWER(VLOOKUP("xp_growth",CONFIG!A:B,2,FALSE),A23-1),0)</f>
        <v/>
      </c>
      <c r="C23" s="5">
        <f>C22+IF(B22="",0,B22)</f>
        <v/>
      </c>
    </row>
    <row r="24">
      <c r="A24" s="5" t="n">
        <v>23</v>
      </c>
      <c r="B24" s="5">
        <f>ROUND(VLOOKUP("xp_base",CONFIG!A:B,2,FALSE)*POWER(VLOOKUP("xp_growth",CONFIG!A:B,2,FALSE),A24-1),0)</f>
        <v/>
      </c>
      <c r="C24" s="5">
        <f>C23+IF(B23="",0,B23)</f>
        <v/>
      </c>
    </row>
    <row r="25">
      <c r="A25" s="5" t="n">
        <v>24</v>
      </c>
      <c r="B25" s="5">
        <f>ROUND(VLOOKUP("xp_base",CONFIG!A:B,2,FALSE)*POWER(VLOOKUP("xp_growth",CONFIG!A:B,2,FALSE),A25-1),0)</f>
        <v/>
      </c>
      <c r="C25" s="5">
        <f>C24+IF(B24="",0,B24)</f>
        <v/>
      </c>
    </row>
    <row r="26">
      <c r="A26" s="5" t="n">
        <v>25</v>
      </c>
      <c r="B26" s="5">
        <f>ROUND(VLOOKUP("xp_base",CONFIG!A:B,2,FALSE)*POWER(VLOOKUP("xp_growth",CONFIG!A:B,2,FALSE),A26-1),0)</f>
        <v/>
      </c>
      <c r="C26" s="5">
        <f>C25+IF(B25="",0,B25)</f>
        <v/>
      </c>
    </row>
    <row r="27">
      <c r="A27" s="5" t="n">
        <v>26</v>
      </c>
      <c r="B27" s="5">
        <f>ROUND(VLOOKUP("xp_base",CONFIG!A:B,2,FALSE)*POWER(VLOOKUP("xp_growth",CONFIG!A:B,2,FALSE),A27-1),0)</f>
        <v/>
      </c>
      <c r="C27" s="5">
        <f>C26+IF(B26="",0,B26)</f>
        <v/>
      </c>
    </row>
    <row r="28">
      <c r="A28" s="5" t="n">
        <v>27</v>
      </c>
      <c r="B28" s="5">
        <f>ROUND(VLOOKUP("xp_base",CONFIG!A:B,2,FALSE)*POWER(VLOOKUP("xp_growth",CONFIG!A:B,2,FALSE),A28-1),0)</f>
        <v/>
      </c>
      <c r="C28" s="5">
        <f>C27+IF(B27="",0,B27)</f>
        <v/>
      </c>
    </row>
    <row r="29">
      <c r="A29" s="5" t="n">
        <v>28</v>
      </c>
      <c r="B29" s="5">
        <f>ROUND(VLOOKUP("xp_base",CONFIG!A:B,2,FALSE)*POWER(VLOOKUP("xp_growth",CONFIG!A:B,2,FALSE),A29-1),0)</f>
        <v/>
      </c>
      <c r="C29" s="5">
        <f>C28+IF(B28="",0,B28)</f>
        <v/>
      </c>
    </row>
    <row r="30">
      <c r="A30" s="5" t="n">
        <v>29</v>
      </c>
      <c r="B30" s="5">
        <f>ROUND(VLOOKUP("xp_base",CONFIG!A:B,2,FALSE)*POWER(VLOOKUP("xp_growth",CONFIG!A:B,2,FALSE),A30-1),0)</f>
        <v/>
      </c>
      <c r="C30" s="5">
        <f>C29+IF(B29="",0,B29)</f>
        <v/>
      </c>
    </row>
    <row r="31">
      <c r="A31" s="5" t="n">
        <v>30</v>
      </c>
      <c r="B31" s="5">
        <f>ROUND(VLOOKUP("xp_base",CONFIG!A:B,2,FALSE)*POWER(VLOOKUP("xp_growth",CONFIG!A:B,2,FALSE),A31-1),0)</f>
        <v/>
      </c>
      <c r="C31" s="5">
        <f>C30+IF(B30="",0,B30)</f>
        <v/>
      </c>
    </row>
    <row r="32">
      <c r="A32" s="5" t="n">
        <v>31</v>
      </c>
      <c r="B32" s="5">
        <f>ROUND(VLOOKUP("xp_base",CONFIG!A:B,2,FALSE)*POWER(VLOOKUP("xp_growth",CONFIG!A:B,2,FALSE),A32-1),0)</f>
        <v/>
      </c>
      <c r="C32" s="5">
        <f>C31+IF(B31="",0,B31)</f>
        <v/>
      </c>
    </row>
    <row r="33">
      <c r="A33" s="5" t="n">
        <v>32</v>
      </c>
      <c r="B33" s="5">
        <f>ROUND(VLOOKUP("xp_base",CONFIG!A:B,2,FALSE)*POWER(VLOOKUP("xp_growth",CONFIG!A:B,2,FALSE),A33-1),0)</f>
        <v/>
      </c>
      <c r="C33" s="5">
        <f>C32+IF(B32="",0,B32)</f>
        <v/>
      </c>
    </row>
    <row r="34">
      <c r="A34" s="5" t="n">
        <v>33</v>
      </c>
      <c r="B34" s="5">
        <f>ROUND(VLOOKUP("xp_base",CONFIG!A:B,2,FALSE)*POWER(VLOOKUP("xp_growth",CONFIG!A:B,2,FALSE),A34-1),0)</f>
        <v/>
      </c>
      <c r="C34" s="5">
        <f>C33+IF(B33="",0,B33)</f>
        <v/>
      </c>
    </row>
    <row r="35">
      <c r="A35" s="5" t="n">
        <v>34</v>
      </c>
      <c r="B35" s="5">
        <f>ROUND(VLOOKUP("xp_base",CONFIG!A:B,2,FALSE)*POWER(VLOOKUP("xp_growth",CONFIG!A:B,2,FALSE),A35-1),0)</f>
        <v/>
      </c>
      <c r="C35" s="5">
        <f>C34+IF(B34="",0,B34)</f>
        <v/>
      </c>
    </row>
    <row r="36">
      <c r="A36" s="5" t="n">
        <v>35</v>
      </c>
      <c r="B36" s="5">
        <f>ROUND(VLOOKUP("xp_base",CONFIG!A:B,2,FALSE)*POWER(VLOOKUP("xp_growth",CONFIG!A:B,2,FALSE),A36-1),0)</f>
        <v/>
      </c>
      <c r="C36" s="5">
        <f>C35+IF(B35="",0,B35)</f>
        <v/>
      </c>
    </row>
    <row r="37">
      <c r="A37" s="5" t="n">
        <v>36</v>
      </c>
      <c r="B37" s="5">
        <f>ROUND(VLOOKUP("xp_base",CONFIG!A:B,2,FALSE)*POWER(VLOOKUP("xp_growth",CONFIG!A:B,2,FALSE),A37-1),0)</f>
        <v/>
      </c>
      <c r="C37" s="5">
        <f>C36+IF(B36="",0,B36)</f>
        <v/>
      </c>
    </row>
    <row r="38">
      <c r="A38" s="5" t="n">
        <v>37</v>
      </c>
      <c r="B38" s="5">
        <f>ROUND(VLOOKUP("xp_base",CONFIG!A:B,2,FALSE)*POWER(VLOOKUP("xp_growth",CONFIG!A:B,2,FALSE),A38-1),0)</f>
        <v/>
      </c>
      <c r="C38" s="5">
        <f>C37+IF(B37="",0,B37)</f>
        <v/>
      </c>
    </row>
    <row r="39">
      <c r="A39" s="5" t="n">
        <v>38</v>
      </c>
      <c r="B39" s="5">
        <f>ROUND(VLOOKUP("xp_base",CONFIG!A:B,2,FALSE)*POWER(VLOOKUP("xp_growth",CONFIG!A:B,2,FALSE),A39-1),0)</f>
        <v/>
      </c>
      <c r="C39" s="5">
        <f>C38+IF(B38="",0,B38)</f>
        <v/>
      </c>
    </row>
    <row r="40">
      <c r="A40" s="5" t="n">
        <v>39</v>
      </c>
      <c r="B40" s="5">
        <f>ROUND(VLOOKUP("xp_base",CONFIG!A:B,2,FALSE)*POWER(VLOOKUP("xp_growth",CONFIG!A:B,2,FALSE),A40-1),0)</f>
        <v/>
      </c>
      <c r="C40" s="5">
        <f>C39+IF(B39="",0,B39)</f>
        <v/>
      </c>
    </row>
    <row r="41">
      <c r="A41" s="5" t="n">
        <v>40</v>
      </c>
      <c r="B41" s="5">
        <f>ROUND(VLOOKUP("xp_base",CONFIG!A:B,2,FALSE)*POWER(VLOOKUP("xp_growth",CONFIG!A:B,2,FALSE),A41-1),0)</f>
        <v/>
      </c>
      <c r="C41" s="5">
        <f>C40+IF(B40="",0,B40)</f>
        <v/>
      </c>
    </row>
    <row r="42">
      <c r="A42" s="5" t="n">
        <v>41</v>
      </c>
      <c r="B42" s="5">
        <f>ROUND(VLOOKUP("xp_base",CONFIG!A:B,2,FALSE)*POWER(VLOOKUP("xp_growth",CONFIG!A:B,2,FALSE),A42-1),0)</f>
        <v/>
      </c>
      <c r="C42" s="5">
        <f>C41+IF(B41="",0,B41)</f>
        <v/>
      </c>
    </row>
    <row r="43">
      <c r="A43" s="5" t="n">
        <v>42</v>
      </c>
      <c r="B43" s="5">
        <f>ROUND(VLOOKUP("xp_base",CONFIG!A:B,2,FALSE)*POWER(VLOOKUP("xp_growth",CONFIG!A:B,2,FALSE),A43-1),0)</f>
        <v/>
      </c>
      <c r="C43" s="5">
        <f>C42+IF(B42="",0,B42)</f>
        <v/>
      </c>
    </row>
    <row r="44">
      <c r="A44" s="5" t="n">
        <v>43</v>
      </c>
      <c r="B44" s="5">
        <f>ROUND(VLOOKUP("xp_base",CONFIG!A:B,2,FALSE)*POWER(VLOOKUP("xp_growth",CONFIG!A:B,2,FALSE),A44-1),0)</f>
        <v/>
      </c>
      <c r="C44" s="5">
        <f>C43+IF(B43="",0,B43)</f>
        <v/>
      </c>
    </row>
    <row r="45">
      <c r="A45" s="5" t="n">
        <v>44</v>
      </c>
      <c r="B45" s="5">
        <f>ROUND(VLOOKUP("xp_base",CONFIG!A:B,2,FALSE)*POWER(VLOOKUP("xp_growth",CONFIG!A:B,2,FALSE),A45-1),0)</f>
        <v/>
      </c>
      <c r="C45" s="5">
        <f>C44+IF(B44="",0,B44)</f>
        <v/>
      </c>
    </row>
    <row r="46">
      <c r="A46" s="5" t="n">
        <v>45</v>
      </c>
      <c r="B46" s="5">
        <f>ROUND(VLOOKUP("xp_base",CONFIG!A:B,2,FALSE)*POWER(VLOOKUP("xp_growth",CONFIG!A:B,2,FALSE),A46-1),0)</f>
        <v/>
      </c>
      <c r="C46" s="5">
        <f>C45+IF(B45="",0,B45)</f>
        <v/>
      </c>
    </row>
    <row r="47">
      <c r="A47" s="5" t="n">
        <v>46</v>
      </c>
      <c r="B47" s="5">
        <f>ROUND(VLOOKUP("xp_base",CONFIG!A:B,2,FALSE)*POWER(VLOOKUP("xp_growth",CONFIG!A:B,2,FALSE),A47-1),0)</f>
        <v/>
      </c>
      <c r="C47" s="5">
        <f>C46+IF(B46="",0,B46)</f>
        <v/>
      </c>
    </row>
    <row r="48">
      <c r="A48" s="5" t="n">
        <v>47</v>
      </c>
      <c r="B48" s="5">
        <f>ROUND(VLOOKUP("xp_base",CONFIG!A:B,2,FALSE)*POWER(VLOOKUP("xp_growth",CONFIG!A:B,2,FALSE),A48-1),0)</f>
        <v/>
      </c>
      <c r="C48" s="5">
        <f>C47+IF(B47="",0,B47)</f>
        <v/>
      </c>
    </row>
    <row r="49">
      <c r="A49" s="5" t="n">
        <v>48</v>
      </c>
      <c r="B49" s="5">
        <f>ROUND(VLOOKUP("xp_base",CONFIG!A:B,2,FALSE)*POWER(VLOOKUP("xp_growth",CONFIG!A:B,2,FALSE),A49-1),0)</f>
        <v/>
      </c>
      <c r="C49" s="5">
        <f>C48+IF(B48="",0,B48)</f>
        <v/>
      </c>
    </row>
    <row r="50">
      <c r="A50" s="5" t="n">
        <v>49</v>
      </c>
      <c r="B50" s="5">
        <f>ROUND(VLOOKUP("xp_base",CONFIG!A:B,2,FALSE)*POWER(VLOOKUP("xp_growth",CONFIG!A:B,2,FALSE),A50-1),0)</f>
        <v/>
      </c>
      <c r="C50" s="5">
        <f>C49+IF(B49="",0,B49)</f>
        <v/>
      </c>
    </row>
    <row r="51">
      <c r="A51" s="5" t="n">
        <v>50</v>
      </c>
      <c r="B51" s="5">
        <f>ROUND(VLOOKUP("xp_base",CONFIG!A:B,2,FALSE)*POWER(VLOOKUP("xp_growth",CONFIG!A:B,2,FALSE),A51-1),0)</f>
        <v/>
      </c>
      <c r="C51" s="5">
        <f>C50+IF(B50="",0,B50)</f>
        <v/>
      </c>
    </row>
    <row r="52">
      <c r="A52" s="5" t="n">
        <v>51</v>
      </c>
      <c r="B52" s="5">
        <f>ROUND(VLOOKUP("xp_base",CONFIG!A:B,2,FALSE)*POWER(VLOOKUP("xp_growth",CONFIG!A:B,2,FALSE),A52-1),0)</f>
        <v/>
      </c>
      <c r="C52" s="5">
        <f>C51+IF(B51="",0,B51)</f>
        <v/>
      </c>
    </row>
    <row r="53">
      <c r="A53" s="5" t="n">
        <v>52</v>
      </c>
      <c r="B53" s="5">
        <f>ROUND(VLOOKUP("xp_base",CONFIG!A:B,2,FALSE)*POWER(VLOOKUP("xp_growth",CONFIG!A:B,2,FALSE),A53-1),0)</f>
        <v/>
      </c>
      <c r="C53" s="5">
        <f>C52+IF(B52="",0,B52)</f>
        <v/>
      </c>
    </row>
    <row r="54">
      <c r="A54" s="5" t="n">
        <v>53</v>
      </c>
      <c r="B54" s="5">
        <f>ROUND(VLOOKUP("xp_base",CONFIG!A:B,2,FALSE)*POWER(VLOOKUP("xp_growth",CONFIG!A:B,2,FALSE),A54-1),0)</f>
        <v/>
      </c>
      <c r="C54" s="5">
        <f>C53+IF(B53="",0,B53)</f>
        <v/>
      </c>
    </row>
    <row r="55">
      <c r="A55" s="5" t="n">
        <v>54</v>
      </c>
      <c r="B55" s="5">
        <f>ROUND(VLOOKUP("xp_base",CONFIG!A:B,2,FALSE)*POWER(VLOOKUP("xp_growth",CONFIG!A:B,2,FALSE),A55-1),0)</f>
        <v/>
      </c>
      <c r="C55" s="5">
        <f>C54+IF(B54="",0,B54)</f>
        <v/>
      </c>
    </row>
    <row r="56">
      <c r="A56" s="5" t="n">
        <v>55</v>
      </c>
      <c r="B56" s="5">
        <f>ROUND(VLOOKUP("xp_base",CONFIG!A:B,2,FALSE)*POWER(VLOOKUP("xp_growth",CONFIG!A:B,2,FALSE),A56-1),0)</f>
        <v/>
      </c>
      <c r="C56" s="5">
        <f>C55+IF(B55="",0,B55)</f>
        <v/>
      </c>
    </row>
    <row r="57">
      <c r="A57" s="5" t="n">
        <v>56</v>
      </c>
      <c r="B57" s="5">
        <f>ROUND(VLOOKUP("xp_base",CONFIG!A:B,2,FALSE)*POWER(VLOOKUP("xp_growth",CONFIG!A:B,2,FALSE),A57-1),0)</f>
        <v/>
      </c>
      <c r="C57" s="5">
        <f>C56+IF(B56="",0,B56)</f>
        <v/>
      </c>
    </row>
    <row r="58">
      <c r="A58" s="5" t="n">
        <v>57</v>
      </c>
      <c r="B58" s="5">
        <f>ROUND(VLOOKUP("xp_base",CONFIG!A:B,2,FALSE)*POWER(VLOOKUP("xp_growth",CONFIG!A:B,2,FALSE),A58-1),0)</f>
        <v/>
      </c>
      <c r="C58" s="5">
        <f>C57+IF(B57="",0,B57)</f>
        <v/>
      </c>
    </row>
    <row r="59">
      <c r="A59" s="5" t="n">
        <v>58</v>
      </c>
      <c r="B59" s="5">
        <f>ROUND(VLOOKUP("xp_base",CONFIG!A:B,2,FALSE)*POWER(VLOOKUP("xp_growth",CONFIG!A:B,2,FALSE),A59-1),0)</f>
        <v/>
      </c>
      <c r="C59" s="5">
        <f>C58+IF(B58="",0,B58)</f>
        <v/>
      </c>
    </row>
    <row r="60">
      <c r="A60" s="5" t="n">
        <v>59</v>
      </c>
      <c r="B60" s="5">
        <f>ROUND(VLOOKUP("xp_base",CONFIG!A:B,2,FALSE)*POWER(VLOOKUP("xp_growth",CONFIG!A:B,2,FALSE),A60-1),0)</f>
        <v/>
      </c>
      <c r="C60" s="5">
        <f>C59+IF(B59="",0,B59)</f>
        <v/>
      </c>
    </row>
    <row r="61">
      <c r="A61" s="5" t="n">
        <v>60</v>
      </c>
      <c r="B61" s="5">
        <f>ROUND(VLOOKUP("xp_base",CONFIG!A:B,2,FALSE)*POWER(VLOOKUP("xp_growth",CONFIG!A:B,2,FALSE),A61-1),0)</f>
        <v/>
      </c>
      <c r="C61" s="5">
        <f>C60+IF(B60="",0,B60)</f>
        <v/>
      </c>
    </row>
    <row r="62">
      <c r="A62" s="5" t="n">
        <v>61</v>
      </c>
      <c r="B62" s="5">
        <f>ROUND(VLOOKUP("xp_base",CONFIG!A:B,2,FALSE)*POWER(VLOOKUP("xp_growth",CONFIG!A:B,2,FALSE),A62-1),0)</f>
        <v/>
      </c>
      <c r="C62" s="5">
        <f>C61+IF(B61="",0,B61)</f>
        <v/>
      </c>
    </row>
    <row r="63">
      <c r="A63" s="5" t="n">
        <v>62</v>
      </c>
      <c r="B63" s="5">
        <f>ROUND(VLOOKUP("xp_base",CONFIG!A:B,2,FALSE)*POWER(VLOOKUP("xp_growth",CONFIG!A:B,2,FALSE),A63-1),0)</f>
        <v/>
      </c>
      <c r="C63" s="5">
        <f>C62+IF(B62="",0,B62)</f>
        <v/>
      </c>
    </row>
    <row r="64">
      <c r="A64" s="5" t="n">
        <v>63</v>
      </c>
      <c r="B64" s="5">
        <f>ROUND(VLOOKUP("xp_base",CONFIG!A:B,2,FALSE)*POWER(VLOOKUP("xp_growth",CONFIG!A:B,2,FALSE),A64-1),0)</f>
        <v/>
      </c>
      <c r="C64" s="5">
        <f>C63+IF(B63="",0,B63)</f>
        <v/>
      </c>
    </row>
    <row r="65">
      <c r="A65" s="5" t="n">
        <v>64</v>
      </c>
      <c r="B65" s="5">
        <f>ROUND(VLOOKUP("xp_base",CONFIG!A:B,2,FALSE)*POWER(VLOOKUP("xp_growth",CONFIG!A:B,2,FALSE),A65-1),0)</f>
        <v/>
      </c>
      <c r="C65" s="5">
        <f>C64+IF(B64="",0,B64)</f>
        <v/>
      </c>
    </row>
    <row r="66">
      <c r="A66" s="5" t="n">
        <v>65</v>
      </c>
      <c r="B66" s="5">
        <f>ROUND(VLOOKUP("xp_base",CONFIG!A:B,2,FALSE)*POWER(VLOOKUP("xp_growth",CONFIG!A:B,2,FALSE),A66-1),0)</f>
        <v/>
      </c>
      <c r="C66" s="5">
        <f>C65+IF(B65="",0,B65)</f>
        <v/>
      </c>
    </row>
    <row r="67">
      <c r="A67" s="5" t="n">
        <v>66</v>
      </c>
      <c r="B67" s="5">
        <f>ROUND(VLOOKUP("xp_base",CONFIG!A:B,2,FALSE)*POWER(VLOOKUP("xp_growth",CONFIG!A:B,2,FALSE),A67-1),0)</f>
        <v/>
      </c>
      <c r="C67" s="5">
        <f>C66+IF(B66="",0,B66)</f>
        <v/>
      </c>
    </row>
    <row r="68">
      <c r="A68" s="5" t="n">
        <v>67</v>
      </c>
      <c r="B68" s="5">
        <f>ROUND(VLOOKUP("xp_base",CONFIG!A:B,2,FALSE)*POWER(VLOOKUP("xp_growth",CONFIG!A:B,2,FALSE),A68-1),0)</f>
        <v/>
      </c>
      <c r="C68" s="5">
        <f>C67+IF(B67="",0,B67)</f>
        <v/>
      </c>
    </row>
    <row r="69">
      <c r="A69" s="5" t="n">
        <v>68</v>
      </c>
      <c r="B69" s="5">
        <f>ROUND(VLOOKUP("xp_base",CONFIG!A:B,2,FALSE)*POWER(VLOOKUP("xp_growth",CONFIG!A:B,2,FALSE),A69-1),0)</f>
        <v/>
      </c>
      <c r="C69" s="5">
        <f>C68+IF(B68="",0,B68)</f>
        <v/>
      </c>
    </row>
    <row r="70">
      <c r="A70" s="5" t="n">
        <v>69</v>
      </c>
      <c r="B70" s="5">
        <f>ROUND(VLOOKUP("xp_base",CONFIG!A:B,2,FALSE)*POWER(VLOOKUP("xp_growth",CONFIG!A:B,2,FALSE),A70-1),0)</f>
        <v/>
      </c>
      <c r="C70" s="5">
        <f>C69+IF(B69="",0,B69)</f>
        <v/>
      </c>
    </row>
    <row r="71">
      <c r="A71" s="5" t="n">
        <v>70</v>
      </c>
      <c r="B71" s="5">
        <f>ROUND(VLOOKUP("xp_base",CONFIG!A:B,2,FALSE)*POWER(VLOOKUP("xp_growth",CONFIG!A:B,2,FALSE),A71-1),0)</f>
        <v/>
      </c>
      <c r="C71" s="5">
        <f>C70+IF(B70="",0,B70)</f>
        <v/>
      </c>
    </row>
    <row r="72">
      <c r="A72" s="5" t="n">
        <v>71</v>
      </c>
      <c r="B72" s="5">
        <f>ROUND(VLOOKUP("xp_base",CONFIG!A:B,2,FALSE)*POWER(VLOOKUP("xp_growth",CONFIG!A:B,2,FALSE),A72-1),0)</f>
        <v/>
      </c>
      <c r="C72" s="5">
        <f>C71+IF(B71="",0,B71)</f>
        <v/>
      </c>
    </row>
    <row r="73">
      <c r="A73" s="5" t="n">
        <v>72</v>
      </c>
      <c r="B73" s="5">
        <f>ROUND(VLOOKUP("xp_base",CONFIG!A:B,2,FALSE)*POWER(VLOOKUP("xp_growth",CONFIG!A:B,2,FALSE),A73-1),0)</f>
        <v/>
      </c>
      <c r="C73" s="5">
        <f>C72+IF(B72="",0,B72)</f>
        <v/>
      </c>
    </row>
    <row r="74">
      <c r="A74" s="5" t="n">
        <v>73</v>
      </c>
      <c r="B74" s="5">
        <f>ROUND(VLOOKUP("xp_base",CONFIG!A:B,2,FALSE)*POWER(VLOOKUP("xp_growth",CONFIG!A:B,2,FALSE),A74-1),0)</f>
        <v/>
      </c>
      <c r="C74" s="5">
        <f>C73+IF(B73="",0,B73)</f>
        <v/>
      </c>
    </row>
    <row r="75">
      <c r="A75" s="5" t="n">
        <v>74</v>
      </c>
      <c r="B75" s="5">
        <f>ROUND(VLOOKUP("xp_base",CONFIG!A:B,2,FALSE)*POWER(VLOOKUP("xp_growth",CONFIG!A:B,2,FALSE),A75-1),0)</f>
        <v/>
      </c>
      <c r="C75" s="5">
        <f>C74+IF(B74="",0,B74)</f>
        <v/>
      </c>
    </row>
    <row r="76">
      <c r="A76" s="5" t="n">
        <v>75</v>
      </c>
      <c r="B76" s="5">
        <f>ROUND(VLOOKUP("xp_base",CONFIG!A:B,2,FALSE)*POWER(VLOOKUP("xp_growth",CONFIG!A:B,2,FALSE),A76-1),0)</f>
        <v/>
      </c>
      <c r="C76" s="5">
        <f>C75+IF(B75="",0,B75)</f>
        <v/>
      </c>
    </row>
    <row r="77">
      <c r="A77" s="5" t="n">
        <v>76</v>
      </c>
      <c r="B77" s="5">
        <f>ROUND(VLOOKUP("xp_base",CONFIG!A:B,2,FALSE)*POWER(VLOOKUP("xp_growth",CONFIG!A:B,2,FALSE),A77-1),0)</f>
        <v/>
      </c>
      <c r="C77" s="5">
        <f>C76+IF(B76="",0,B76)</f>
        <v/>
      </c>
    </row>
    <row r="78">
      <c r="A78" s="5" t="n">
        <v>77</v>
      </c>
      <c r="B78" s="5">
        <f>ROUND(VLOOKUP("xp_base",CONFIG!A:B,2,FALSE)*POWER(VLOOKUP("xp_growth",CONFIG!A:B,2,FALSE),A78-1),0)</f>
        <v/>
      </c>
      <c r="C78" s="5">
        <f>C77+IF(B77="",0,B77)</f>
        <v/>
      </c>
    </row>
    <row r="79">
      <c r="A79" s="5" t="n">
        <v>78</v>
      </c>
      <c r="B79" s="5">
        <f>ROUND(VLOOKUP("xp_base",CONFIG!A:B,2,FALSE)*POWER(VLOOKUP("xp_growth",CONFIG!A:B,2,FALSE),A79-1),0)</f>
        <v/>
      </c>
      <c r="C79" s="5">
        <f>C78+IF(B78="",0,B78)</f>
        <v/>
      </c>
    </row>
    <row r="80">
      <c r="A80" s="5" t="n">
        <v>79</v>
      </c>
      <c r="B80" s="5">
        <f>ROUND(VLOOKUP("xp_base",CONFIG!A:B,2,FALSE)*POWER(VLOOKUP("xp_growth",CONFIG!A:B,2,FALSE),A80-1),0)</f>
        <v/>
      </c>
      <c r="C80" s="5">
        <f>C79+IF(B79="",0,B79)</f>
        <v/>
      </c>
    </row>
    <row r="81">
      <c r="A81" s="5" t="n">
        <v>80</v>
      </c>
      <c r="B81" s="5">
        <f>ROUND(VLOOKUP("xp_base",CONFIG!A:B,2,FALSE)*POWER(VLOOKUP("xp_growth",CONFIG!A:B,2,FALSE),A81-1),0)</f>
        <v/>
      </c>
      <c r="C81" s="5">
        <f>C80+IF(B80="",0,B80)</f>
        <v/>
      </c>
    </row>
    <row r="82">
      <c r="A82" s="5" t="n">
        <v>81</v>
      </c>
      <c r="B82" s="5">
        <f>ROUND(VLOOKUP("xp_base",CONFIG!A:B,2,FALSE)*POWER(VLOOKUP("xp_growth",CONFIG!A:B,2,FALSE),A82-1),0)</f>
        <v/>
      </c>
      <c r="C82" s="5">
        <f>C81+IF(B81="",0,B81)</f>
        <v/>
      </c>
    </row>
    <row r="83">
      <c r="A83" s="5" t="n">
        <v>82</v>
      </c>
      <c r="B83" s="5">
        <f>ROUND(VLOOKUP("xp_base",CONFIG!A:B,2,FALSE)*POWER(VLOOKUP("xp_growth",CONFIG!A:B,2,FALSE),A83-1),0)</f>
        <v/>
      </c>
      <c r="C83" s="5">
        <f>C82+IF(B82="",0,B82)</f>
        <v/>
      </c>
    </row>
    <row r="84">
      <c r="A84" s="5" t="n">
        <v>83</v>
      </c>
      <c r="B84" s="5">
        <f>ROUND(VLOOKUP("xp_base",CONFIG!A:B,2,FALSE)*POWER(VLOOKUP("xp_growth",CONFIG!A:B,2,FALSE),A84-1),0)</f>
        <v/>
      </c>
      <c r="C84" s="5">
        <f>C83+IF(B83="",0,B83)</f>
        <v/>
      </c>
    </row>
    <row r="85">
      <c r="A85" s="5" t="n">
        <v>84</v>
      </c>
      <c r="B85" s="5">
        <f>ROUND(VLOOKUP("xp_base",CONFIG!A:B,2,FALSE)*POWER(VLOOKUP("xp_growth",CONFIG!A:B,2,FALSE),A85-1),0)</f>
        <v/>
      </c>
      <c r="C85" s="5">
        <f>C84+IF(B84="",0,B84)</f>
        <v/>
      </c>
    </row>
    <row r="86">
      <c r="A86" s="5" t="n">
        <v>85</v>
      </c>
      <c r="B86" s="5">
        <f>ROUND(VLOOKUP("xp_base",CONFIG!A:B,2,FALSE)*POWER(VLOOKUP("xp_growth",CONFIG!A:B,2,FALSE),A86-1),0)</f>
        <v/>
      </c>
      <c r="C86" s="5">
        <f>C85+IF(B85="",0,B85)</f>
        <v/>
      </c>
    </row>
    <row r="87">
      <c r="A87" s="5" t="n">
        <v>86</v>
      </c>
      <c r="B87" s="5">
        <f>ROUND(VLOOKUP("xp_base",CONFIG!A:B,2,FALSE)*POWER(VLOOKUP("xp_growth",CONFIG!A:B,2,FALSE),A87-1),0)</f>
        <v/>
      </c>
      <c r="C87" s="5">
        <f>C86+IF(B86="",0,B86)</f>
        <v/>
      </c>
    </row>
    <row r="88">
      <c r="A88" s="5" t="n">
        <v>87</v>
      </c>
      <c r="B88" s="5">
        <f>ROUND(VLOOKUP("xp_base",CONFIG!A:B,2,FALSE)*POWER(VLOOKUP("xp_growth",CONFIG!A:B,2,FALSE),A88-1),0)</f>
        <v/>
      </c>
      <c r="C88" s="5">
        <f>C87+IF(B87="",0,B87)</f>
        <v/>
      </c>
    </row>
    <row r="89">
      <c r="A89" s="5" t="n">
        <v>88</v>
      </c>
      <c r="B89" s="5">
        <f>ROUND(VLOOKUP("xp_base",CONFIG!A:B,2,FALSE)*POWER(VLOOKUP("xp_growth",CONFIG!A:B,2,FALSE),A89-1),0)</f>
        <v/>
      </c>
      <c r="C89" s="5">
        <f>C88+IF(B88="",0,B88)</f>
        <v/>
      </c>
    </row>
    <row r="90">
      <c r="A90" s="5" t="n">
        <v>89</v>
      </c>
      <c r="B90" s="5">
        <f>ROUND(VLOOKUP("xp_base",CONFIG!A:B,2,FALSE)*POWER(VLOOKUP("xp_growth",CONFIG!A:B,2,FALSE),A90-1),0)</f>
        <v/>
      </c>
      <c r="C90" s="5">
        <f>C89+IF(B89="",0,B89)</f>
        <v/>
      </c>
    </row>
    <row r="91">
      <c r="A91" s="5" t="n">
        <v>90</v>
      </c>
      <c r="B91" s="5">
        <f>ROUND(VLOOKUP("xp_base",CONFIG!A:B,2,FALSE)*POWER(VLOOKUP("xp_growth",CONFIG!A:B,2,FALSE),A91-1),0)</f>
        <v/>
      </c>
      <c r="C91" s="5">
        <f>C90+IF(B90="",0,B90)</f>
        <v/>
      </c>
    </row>
    <row r="92">
      <c r="A92" s="5" t="n">
        <v>91</v>
      </c>
      <c r="B92" s="5">
        <f>ROUND(VLOOKUP("xp_base",CONFIG!A:B,2,FALSE)*POWER(VLOOKUP("xp_growth",CONFIG!A:B,2,FALSE),A92-1),0)</f>
        <v/>
      </c>
      <c r="C92" s="5">
        <f>C91+IF(B91="",0,B91)</f>
        <v/>
      </c>
    </row>
    <row r="93">
      <c r="A93" s="5" t="n">
        <v>92</v>
      </c>
      <c r="B93" s="5">
        <f>ROUND(VLOOKUP("xp_base",CONFIG!A:B,2,FALSE)*POWER(VLOOKUP("xp_growth",CONFIG!A:B,2,FALSE),A93-1),0)</f>
        <v/>
      </c>
      <c r="C93" s="5">
        <f>C92+IF(B92="",0,B92)</f>
        <v/>
      </c>
    </row>
    <row r="94">
      <c r="A94" s="5" t="n">
        <v>93</v>
      </c>
      <c r="B94" s="5">
        <f>ROUND(VLOOKUP("xp_base",CONFIG!A:B,2,FALSE)*POWER(VLOOKUP("xp_growth",CONFIG!A:B,2,FALSE),A94-1),0)</f>
        <v/>
      </c>
      <c r="C94" s="5">
        <f>C93+IF(B93="",0,B93)</f>
        <v/>
      </c>
    </row>
    <row r="95">
      <c r="A95" s="5" t="n">
        <v>94</v>
      </c>
      <c r="B95" s="5">
        <f>ROUND(VLOOKUP("xp_base",CONFIG!A:B,2,FALSE)*POWER(VLOOKUP("xp_growth",CONFIG!A:B,2,FALSE),A95-1),0)</f>
        <v/>
      </c>
      <c r="C95" s="5">
        <f>C94+IF(B94="",0,B94)</f>
        <v/>
      </c>
    </row>
    <row r="96">
      <c r="A96" s="5" t="n">
        <v>95</v>
      </c>
      <c r="B96" s="5">
        <f>ROUND(VLOOKUP("xp_base",CONFIG!A:B,2,FALSE)*POWER(VLOOKUP("xp_growth",CONFIG!A:B,2,FALSE),A96-1),0)</f>
        <v/>
      </c>
      <c r="C96" s="5">
        <f>C95+IF(B95="",0,B95)</f>
        <v/>
      </c>
    </row>
    <row r="97">
      <c r="A97" s="5" t="n">
        <v>96</v>
      </c>
      <c r="B97" s="5">
        <f>ROUND(VLOOKUP("xp_base",CONFIG!A:B,2,FALSE)*POWER(VLOOKUP("xp_growth",CONFIG!A:B,2,FALSE),A97-1),0)</f>
        <v/>
      </c>
      <c r="C97" s="5">
        <f>C96+IF(B96="",0,B96)</f>
        <v/>
      </c>
    </row>
    <row r="98">
      <c r="A98" s="5" t="n">
        <v>97</v>
      </c>
      <c r="B98" s="5">
        <f>ROUND(VLOOKUP("xp_base",CONFIG!A:B,2,FALSE)*POWER(VLOOKUP("xp_growth",CONFIG!A:B,2,FALSE),A98-1),0)</f>
        <v/>
      </c>
      <c r="C98" s="5">
        <f>C97+IF(B97="",0,B97)</f>
        <v/>
      </c>
    </row>
    <row r="99">
      <c r="A99" s="5" t="n">
        <v>98</v>
      </c>
      <c r="B99" s="5">
        <f>ROUND(VLOOKUP("xp_base",CONFIG!A:B,2,FALSE)*POWER(VLOOKUP("xp_growth",CONFIG!A:B,2,FALSE),A99-1),0)</f>
        <v/>
      </c>
      <c r="C99" s="5">
        <f>C98+IF(B98="",0,B98)</f>
        <v/>
      </c>
    </row>
    <row r="100">
      <c r="A100" s="5" t="n">
        <v>99</v>
      </c>
      <c r="B100" s="5" t="inlineStr"/>
      <c r="C100" s="5">
        <f>C99+IF(B99="",0,B99)</f>
        <v/>
      </c>
    </row>
    <row r="101">
      <c r="A10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2" customWidth="1" min="12" max="12"/>
    <col width="16" customWidth="1" min="13" max="13"/>
    <col width="10" customWidth="1" min="14" max="14"/>
    <col width="44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monster_id</t>
        </is>
      </c>
      <c r="B1" s="1" t="inlineStr">
        <is>
          <t>nome</t>
        </is>
      </c>
      <c r="C1" s="1" t="inlineStr">
        <is>
          <t>classe_principal</t>
        </is>
      </c>
      <c r="D1" s="1" t="inlineStr">
        <is>
          <t>classe_secundaria</t>
        </is>
      </c>
      <c r="E1" s="1" t="inlineStr">
        <is>
          <t>raridade</t>
        </is>
      </c>
      <c r="F1" s="1" t="inlineStr">
        <is>
          <t>estagio</t>
        </is>
      </c>
      <c r="G1" s="1" t="inlineStr">
        <is>
          <t>base_hp</t>
        </is>
      </c>
      <c r="H1" s="1" t="inlineStr">
        <is>
          <t>base_atk</t>
        </is>
      </c>
      <c r="I1" s="1" t="inlineStr">
        <is>
          <t>base_def</t>
        </is>
      </c>
      <c r="J1" s="1" t="inlineStr">
        <is>
          <t>base_spd</t>
        </is>
      </c>
      <c r="K1" s="1" t="inlineStr">
        <is>
          <t>base_ene</t>
        </is>
      </c>
      <c r="L1" s="1" t="inlineStr">
        <is>
          <t>growth_template_class</t>
        </is>
      </c>
      <c r="M1" s="1" t="inlineStr">
        <is>
          <t>evo_family_id</t>
        </is>
      </c>
      <c r="N1" s="1" t="inlineStr">
        <is>
          <t>is_starter</t>
        </is>
      </c>
      <c r="O1" s="1" t="inlineStr">
        <is>
          <t>notes</t>
        </is>
      </c>
      <c r="P1" s="1" t="inlineStr">
        <is>
          <t>sample_level</t>
        </is>
      </c>
      <c r="Q1" s="1" t="inlineStr">
        <is>
          <t>hp_at_level</t>
        </is>
      </c>
      <c r="R1" s="1" t="inlineStr">
        <is>
          <t>atk_at_level</t>
        </is>
      </c>
      <c r="S1" s="1" t="inlineStr">
        <is>
          <t>def_at_level</t>
        </is>
      </c>
      <c r="T1" s="1" t="inlineStr">
        <is>
          <t>spd_at_level</t>
        </is>
      </c>
      <c r="U1" s="1" t="inlineStr">
        <is>
          <t>ene_at_level</t>
        </is>
      </c>
    </row>
    <row r="2">
      <c r="A2" s="4" t="inlineStr">
        <is>
          <t>MON_001</t>
        </is>
      </c>
      <c r="B2" s="4" t="inlineStr">
        <is>
          <t>Cantapau</t>
        </is>
      </c>
      <c r="C2" s="4" t="inlineStr">
        <is>
          <t>Bardo</t>
        </is>
      </c>
      <c r="D2" s="4" t="inlineStr"/>
      <c r="E2" s="4" t="inlineStr">
        <is>
          <t>Comum</t>
        </is>
      </c>
      <c r="F2" s="4" t="inlineStr">
        <is>
          <t>S1</t>
        </is>
      </c>
      <c r="G2" s="4" t="n">
        <v>28</v>
      </c>
      <c r="H2" s="4" t="n">
        <v>6</v>
      </c>
      <c r="I2" s="4" t="n">
        <v>4</v>
      </c>
      <c r="J2" s="4" t="n">
        <v>5</v>
      </c>
      <c r="K2" s="4" t="n">
        <v>8</v>
      </c>
      <c r="L2" s="4" t="inlineStr">
        <is>
          <t>Bardo</t>
        </is>
      </c>
      <c r="M2" s="4" t="inlineStr">
        <is>
          <t>FAM_001</t>
        </is>
      </c>
      <c r="N2" s="4" t="b">
        <v>1</v>
      </c>
      <c r="O2" s="4" t="inlineStr">
        <is>
          <t>Inicial Bardo (final vira Bardo+Guerreiro).</t>
        </is>
      </c>
      <c r="P2" s="4" t="n">
        <v>10</v>
      </c>
      <c r="Q2" s="4">
        <f>G2+VLOOKUP(L2,CLASSES!B:H,3,FALSE)*(P2-1)</f>
        <v/>
      </c>
      <c r="R2" s="4">
        <f>H2+VLOOKUP(L2,CLASSES!B:H,4,FALSE)*(P2-1)</f>
        <v/>
      </c>
      <c r="S2" s="4">
        <f>I2+VLOOKUP(L2,CLASSES!B:H,5,FALSE)*(P2-1)</f>
        <v/>
      </c>
      <c r="T2" s="4">
        <f>J2+VLOOKUP(L2,CLASSES!B:H,6,FALSE)*(P2-1)</f>
        <v/>
      </c>
      <c r="U2" s="4">
        <f>K2+VLOOKUP(L2,CLASSES!B:H,7,FALSE)*(P2-1)</f>
        <v/>
      </c>
    </row>
    <row r="3">
      <c r="A3" s="4" t="inlineStr">
        <is>
          <t>MON_002</t>
        </is>
      </c>
      <c r="B3" s="4" t="inlineStr">
        <is>
          <t>Pedrino</t>
        </is>
      </c>
      <c r="C3" s="4" t="inlineStr">
        <is>
          <t>Guerreiro</t>
        </is>
      </c>
      <c r="D3" s="4" t="inlineStr"/>
      <c r="E3" s="4" t="inlineStr">
        <is>
          <t>Comum</t>
        </is>
      </c>
      <c r="F3" s="4" t="inlineStr">
        <is>
          <t>S1</t>
        </is>
      </c>
      <c r="G3" s="4" t="n">
        <v>32</v>
      </c>
      <c r="H3" s="4" t="n">
        <v>7</v>
      </c>
      <c r="I3" s="4" t="n">
        <v>6</v>
      </c>
      <c r="J3" s="4" t="n">
        <v>3</v>
      </c>
      <c r="K3" s="4" t="n">
        <v>6</v>
      </c>
      <c r="L3" s="4" t="inlineStr">
        <is>
          <t>Guerreiro</t>
        </is>
      </c>
      <c r="M3" s="4" t="inlineStr">
        <is>
          <t>FAM_002</t>
        </is>
      </c>
      <c r="N3" s="4" t="b">
        <v>1</v>
      </c>
      <c r="O3" s="4" t="inlineStr">
        <is>
          <t>Inicial Guerreiro (final vira Guerreiro+Mago).</t>
        </is>
      </c>
      <c r="P3" s="4" t="n">
        <v>10</v>
      </c>
      <c r="Q3" s="4">
        <f>G3+VLOOKUP(L3,CLASSES!B:H,3,FALSE)*(P3-1)</f>
        <v/>
      </c>
      <c r="R3" s="4">
        <f>H3+VLOOKUP(L3,CLASSES!B:H,4,FALSE)*(P3-1)</f>
        <v/>
      </c>
      <c r="S3" s="4">
        <f>I3+VLOOKUP(L3,CLASSES!B:H,5,FALSE)*(P3-1)</f>
        <v/>
      </c>
      <c r="T3" s="4">
        <f>J3+VLOOKUP(L3,CLASSES!B:H,6,FALSE)*(P3-1)</f>
        <v/>
      </c>
      <c r="U3" s="4">
        <f>K3+VLOOKUP(L3,CLASSES!B:H,7,FALSE)*(P3-1)</f>
        <v/>
      </c>
    </row>
    <row r="4">
      <c r="A4" s="4" t="inlineStr">
        <is>
          <t>MON_003</t>
        </is>
      </c>
      <c r="B4" s="4" t="inlineStr">
        <is>
          <t>Faíscari</t>
        </is>
      </c>
      <c r="C4" s="4" t="inlineStr">
        <is>
          <t>Mago</t>
        </is>
      </c>
      <c r="D4" s="4" t="inlineStr"/>
      <c r="E4" s="4" t="inlineStr">
        <is>
          <t>Comum</t>
        </is>
      </c>
      <c r="F4" s="4" t="inlineStr">
        <is>
          <t>S1</t>
        </is>
      </c>
      <c r="G4" s="4" t="n">
        <v>26</v>
      </c>
      <c r="H4" s="4" t="n">
        <v>8</v>
      </c>
      <c r="I4" s="4" t="n">
        <v>3</v>
      </c>
      <c r="J4" s="4" t="n">
        <v>4</v>
      </c>
      <c r="K4" s="4" t="n">
        <v>10</v>
      </c>
      <c r="L4" s="4" t="inlineStr">
        <is>
          <t>Mago</t>
        </is>
      </c>
      <c r="M4" s="4" t="inlineStr">
        <is>
          <t>FAM_003</t>
        </is>
      </c>
      <c r="N4" s="4" t="b">
        <v>1</v>
      </c>
      <c r="O4" s="4" t="inlineStr">
        <is>
          <t>Inicial Mago (final vira Mago+Animalista).</t>
        </is>
      </c>
      <c r="P4" s="4" t="n">
        <v>10</v>
      </c>
      <c r="Q4" s="4">
        <f>G4+VLOOKUP(L4,CLASSES!B:H,3,FALSE)*(P4-1)</f>
        <v/>
      </c>
      <c r="R4" s="4">
        <f>H4+VLOOKUP(L4,CLASSES!B:H,4,FALSE)*(P4-1)</f>
        <v/>
      </c>
      <c r="S4" s="4">
        <f>I4+VLOOKUP(L4,CLASSES!B:H,5,FALSE)*(P4-1)</f>
        <v/>
      </c>
      <c r="T4" s="4">
        <f>J4+VLOOKUP(L4,CLASSES!B:H,6,FALSE)*(P4-1)</f>
        <v/>
      </c>
      <c r="U4" s="4">
        <f>K4+VLOOKUP(L4,CLASSES!B:H,7,FALSE)*(P4-1)</f>
        <v/>
      </c>
    </row>
    <row r="5">
      <c r="A5" s="4" t="inlineStr">
        <is>
          <t>MON_004</t>
        </is>
      </c>
      <c r="B5" s="4" t="inlineStr">
        <is>
          <t>Ninfolha</t>
        </is>
      </c>
      <c r="C5" s="4" t="inlineStr">
        <is>
          <t>Curandeiro</t>
        </is>
      </c>
      <c r="D5" s="4" t="inlineStr"/>
      <c r="E5" s="4" t="inlineStr">
        <is>
          <t>Comum</t>
        </is>
      </c>
      <c r="F5" s="4" t="inlineStr">
        <is>
          <t>S1</t>
        </is>
      </c>
      <c r="G5" s="4" t="n">
        <v>30</v>
      </c>
      <c r="H5" s="4" t="n">
        <v>4</v>
      </c>
      <c r="I5" s="4" t="n">
        <v>4</v>
      </c>
      <c r="J5" s="4" t="n">
        <v>3</v>
      </c>
      <c r="K5" s="4" t="n">
        <v>12</v>
      </c>
      <c r="L5" s="4" t="inlineStr">
        <is>
          <t>Curandeiro</t>
        </is>
      </c>
      <c r="M5" s="4" t="inlineStr">
        <is>
          <t>FAM_004</t>
        </is>
      </c>
      <c r="N5" s="4" t="b">
        <v>1</v>
      </c>
      <c r="O5" s="4" t="inlineStr">
        <is>
          <t>Inicial Curandeiro (dupla classe a definir por história).</t>
        </is>
      </c>
      <c r="P5" s="4" t="n">
        <v>10</v>
      </c>
      <c r="Q5" s="4">
        <f>G5+VLOOKUP(L5,CLASSES!B:H,3,FALSE)*(P5-1)</f>
        <v/>
      </c>
      <c r="R5" s="4">
        <f>H5+VLOOKUP(L5,CLASSES!B:H,4,FALSE)*(P5-1)</f>
        <v/>
      </c>
      <c r="S5" s="4">
        <f>I5+VLOOKUP(L5,CLASSES!B:H,5,FALSE)*(P5-1)</f>
        <v/>
      </c>
      <c r="T5" s="4">
        <f>J5+VLOOKUP(L5,CLASSES!B:H,6,FALSE)*(P5-1)</f>
        <v/>
      </c>
      <c r="U5" s="4">
        <f>K5+VLOOKUP(L5,CLASSES!B:H,7,FALSE)*(P5-1)</f>
        <v/>
      </c>
    </row>
    <row r="6">
      <c r="A6" s="4" t="inlineStr">
        <is>
          <t>MON_005</t>
        </is>
      </c>
      <c r="B6" s="4" t="inlineStr">
        <is>
          <t>Garruncho</t>
        </is>
      </c>
      <c r="C6" s="4" t="inlineStr">
        <is>
          <t>Caçador</t>
        </is>
      </c>
      <c r="D6" s="4" t="inlineStr"/>
      <c r="E6" s="4" t="inlineStr">
        <is>
          <t>Comum</t>
        </is>
      </c>
      <c r="F6" s="4" t="inlineStr">
        <is>
          <t>S1</t>
        </is>
      </c>
      <c r="G6" s="4" t="n">
        <v>29</v>
      </c>
      <c r="H6" s="4" t="n">
        <v>7</v>
      </c>
      <c r="I6" s="4" t="n">
        <v>3</v>
      </c>
      <c r="J6" s="4" t="n">
        <v>6</v>
      </c>
      <c r="K6" s="4" t="n">
        <v>8</v>
      </c>
      <c r="L6" s="4" t="inlineStr">
        <is>
          <t>Caçador</t>
        </is>
      </c>
      <c r="M6" s="4" t="inlineStr">
        <is>
          <t>FAM_005</t>
        </is>
      </c>
      <c r="N6" s="4" t="b">
        <v>1</v>
      </c>
      <c r="O6" s="4" t="inlineStr">
        <is>
          <t>Inicial Caçador (final vira Caçador+Ladino).</t>
        </is>
      </c>
      <c r="P6" s="4" t="n">
        <v>10</v>
      </c>
      <c r="Q6" s="4">
        <f>G6+VLOOKUP(L6,CLASSES!B:H,3,FALSE)*(P6-1)</f>
        <v/>
      </c>
      <c r="R6" s="4">
        <f>H6+VLOOKUP(L6,CLASSES!B:H,4,FALSE)*(P6-1)</f>
        <v/>
      </c>
      <c r="S6" s="4">
        <f>I6+VLOOKUP(L6,CLASSES!B:H,5,FALSE)*(P6-1)</f>
        <v/>
      </c>
      <c r="T6" s="4">
        <f>J6+VLOOKUP(L6,CLASSES!B:H,6,FALSE)*(P6-1)</f>
        <v/>
      </c>
      <c r="U6" s="4">
        <f>K6+VLOOKUP(L6,CLASSES!B:H,7,FALSE)*(P6-1)</f>
        <v/>
      </c>
    </row>
    <row r="7">
      <c r="A7" s="4" t="inlineStr">
        <is>
          <t>MON_100</t>
        </is>
      </c>
      <c r="B7" s="4" t="inlineStr">
        <is>
          <t>Rato-de-Lama</t>
        </is>
      </c>
      <c r="C7" s="4" t="inlineStr">
        <is>
          <t>Guerreiro</t>
        </is>
      </c>
      <c r="D7" s="4" t="inlineStr"/>
      <c r="E7" s="4" t="inlineStr">
        <is>
          <t>Comum</t>
        </is>
      </c>
      <c r="F7" s="4" t="inlineStr">
        <is>
          <t>S1</t>
        </is>
      </c>
      <c r="G7" s="4" t="n">
        <v>20</v>
      </c>
      <c r="H7" s="4" t="n">
        <v>5</v>
      </c>
      <c r="I7" s="4" t="n">
        <v>3</v>
      </c>
      <c r="J7" s="4" t="n">
        <v>4</v>
      </c>
      <c r="K7" s="4" t="n">
        <v>4</v>
      </c>
      <c r="L7" s="4" t="inlineStr">
        <is>
          <t>Guerreiro</t>
        </is>
      </c>
      <c r="M7" s="4" t="inlineStr">
        <is>
          <t>FAM_100</t>
        </is>
      </c>
      <c r="N7" s="4" t="b">
        <v>0</v>
      </c>
      <c r="O7" s="4" t="inlineStr">
        <is>
          <t>Monstro selvagem tutorial (para captura e combate).</t>
        </is>
      </c>
      <c r="P7" s="4" t="n">
        <v>5</v>
      </c>
      <c r="Q7" s="4">
        <f>G7+VLOOKUP(L7,CLASSES!B:H,3,FALSE)*(P7-1)</f>
        <v/>
      </c>
      <c r="R7" s="4">
        <f>H7+VLOOKUP(L7,CLASSES!B:H,4,FALSE)*(P7-1)</f>
        <v/>
      </c>
      <c r="S7" s="4">
        <f>I7+VLOOKUP(L7,CLASSES!B:H,5,FALSE)*(P7-1)</f>
        <v/>
      </c>
      <c r="T7" s="4">
        <f>J7+VLOOKUP(L7,CLASSES!B:H,6,FALSE)*(P7-1)</f>
        <v/>
      </c>
      <c r="U7" s="4">
        <f>K7+VLOOKUP(L7,CLASSES!B:H,7,FALSE)*(P7-1)</f>
        <v/>
      </c>
    </row>
  </sheetData>
  <dataValidations count="4">
    <dataValidation sqref="C2:C500" showDropDown="0" showInputMessage="0" showErrorMessage="0" allowBlank="1" type="list">
      <formula1>=_DV!$A$2:$A$9</formula1>
    </dataValidation>
    <dataValidation sqref="D2:D500" showDropDown="0" showInputMessage="0" showErrorMessage="0" allowBlank="1" type="list">
      <formula1>=_DV!$A$2:$A$9</formula1>
    </dataValidation>
    <dataValidation sqref="E2:E500" showDropDown="0" showInputMessage="0" showErrorMessage="0" allowBlank="1" type="list">
      <formula1>=_DV!$B$2:$B$6</formula1>
    </dataValidation>
    <dataValidation sqref="F2:F500" showDropDown="0" showInputMessage="0" showErrorMessage="0" allowBlank="1" type="list">
      <formula1>=_DV!$C$2:$C$4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2" customWidth="1" min="5" max="5"/>
    <col width="60" customWidth="1" min="6" max="6"/>
  </cols>
  <sheetData>
    <row r="1">
      <c r="A1" s="1" t="inlineStr">
        <is>
          <t>evo_id</t>
        </is>
      </c>
      <c r="B1" s="1" t="inlineStr">
        <is>
          <t>from_monster_id</t>
        </is>
      </c>
      <c r="C1" s="1" t="inlineStr">
        <is>
          <t>to_monster_id</t>
        </is>
      </c>
      <c r="D1" s="1" t="inlineStr">
        <is>
          <t>trigger_level</t>
        </is>
      </c>
      <c r="E1" s="1" t="inlineStr">
        <is>
          <t>auto_evolve</t>
        </is>
      </c>
      <c r="F1" s="1" t="inlineStr">
        <is>
          <t>notes</t>
        </is>
      </c>
    </row>
    <row r="2">
      <c r="A2" s="4" t="inlineStr">
        <is>
          <t>EVO_001</t>
        </is>
      </c>
      <c r="B2" s="4" t="inlineStr">
        <is>
          <t>MON_002</t>
        </is>
      </c>
      <c r="C2" s="4" t="inlineStr">
        <is>
          <t>MON_002B</t>
        </is>
      </c>
      <c r="D2" s="4" t="n">
        <v>12</v>
      </c>
      <c r="E2" s="4" t="b">
        <v>1</v>
      </c>
      <c r="F2" s="4" t="inlineStr">
        <is>
          <t>Pedrino S1→S2 (placeholder).</t>
        </is>
      </c>
    </row>
    <row r="3">
      <c r="A3" s="4" t="inlineStr">
        <is>
          <t>EVO_002</t>
        </is>
      </c>
      <c r="B3" s="4" t="inlineStr">
        <is>
          <t>MON_002B</t>
        </is>
      </c>
      <c r="C3" s="4" t="inlineStr">
        <is>
          <t>MON_002C</t>
        </is>
      </c>
      <c r="D3" s="4" t="n">
        <v>25</v>
      </c>
      <c r="E3" s="4" t="b">
        <v>1</v>
      </c>
      <c r="F3" s="4" t="inlineStr">
        <is>
          <t>Pedrino S2→S3 (placeholder; S3 terá dupla classe Guerreiro+Mago).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4" customWidth="1" min="4" max="4"/>
    <col width="8" customWidth="1" min="5" max="5"/>
    <col width="10" customWidth="1" min="6" max="6"/>
    <col width="14" customWidth="1" min="7" max="7"/>
    <col width="10" customWidth="1" min="8" max="8"/>
    <col width="16" customWidth="1" min="9" max="9"/>
    <col width="56" customWidth="1" min="10" max="10"/>
  </cols>
  <sheetData>
    <row r="1">
      <c r="A1" s="1" t="inlineStr">
        <is>
          <t>skill_id</t>
        </is>
      </c>
      <c r="B1" s="1" t="inlineStr">
        <is>
          <t>nome</t>
        </is>
      </c>
      <c r="C1" s="1" t="inlineStr">
        <is>
          <t>classe</t>
        </is>
      </c>
      <c r="D1" s="1" t="inlineStr">
        <is>
          <t>categoria</t>
        </is>
      </c>
      <c r="E1" s="1" t="inlineStr">
        <is>
          <t>poder</t>
        </is>
      </c>
      <c r="F1" s="1" t="inlineStr">
        <is>
          <t>acuracia</t>
        </is>
      </c>
      <c r="G1" s="1" t="inlineStr">
        <is>
          <t>custo_energia</t>
        </is>
      </c>
      <c r="H1" s="1" t="inlineStr">
        <is>
          <t>alvo</t>
        </is>
      </c>
      <c r="I1" s="1" t="inlineStr">
        <is>
          <t>status_aplica</t>
        </is>
      </c>
      <c r="J1" s="1" t="inlineStr">
        <is>
          <t>descricao</t>
        </is>
      </c>
    </row>
    <row r="2">
      <c r="A2" s="4" t="inlineStr">
        <is>
          <t>SK_WAR_01</t>
        </is>
      </c>
      <c r="B2" s="4" t="inlineStr">
        <is>
          <t>Golpe de Escudo</t>
        </is>
      </c>
      <c r="C2" s="4" t="inlineStr">
        <is>
          <t>Guerreiro</t>
        </is>
      </c>
      <c r="D2" s="4" t="inlineStr">
        <is>
          <t>Controle</t>
        </is>
      </c>
      <c r="E2" s="4" t="n">
        <v>6</v>
      </c>
      <c r="F2" s="4" t="n">
        <v>0.9</v>
      </c>
      <c r="G2" s="4" t="n">
        <v>2</v>
      </c>
      <c r="H2" s="4" t="inlineStr">
        <is>
          <t>Inimigo</t>
        </is>
      </c>
      <c r="I2" s="4" t="inlineStr">
        <is>
          <t>Atordoado</t>
        </is>
      </c>
      <c r="J2" s="4" t="inlineStr">
        <is>
          <t>Ataque curto com chance de atordoar.</t>
        </is>
      </c>
    </row>
    <row r="3">
      <c r="A3" s="4" t="inlineStr">
        <is>
          <t>SK_WAR_02</t>
        </is>
      </c>
      <c r="B3" s="4" t="inlineStr">
        <is>
          <t>Corte Pesado</t>
        </is>
      </c>
      <c r="C3" s="4" t="inlineStr">
        <is>
          <t>Guerreiro</t>
        </is>
      </c>
      <c r="D3" s="4" t="inlineStr">
        <is>
          <t>Ataque</t>
        </is>
      </c>
      <c r="E3" s="4" t="n">
        <v>9</v>
      </c>
      <c r="F3" s="4" t="n">
        <v>0.8</v>
      </c>
      <c r="G3" s="4" t="n">
        <v>3</v>
      </c>
      <c r="H3" s="4" t="inlineStr">
        <is>
          <t>Inimigo</t>
        </is>
      </c>
      <c r="I3" s="4" t="inlineStr"/>
      <c r="J3" s="4" t="inlineStr">
        <is>
          <t>Dano alto, menos preciso.</t>
        </is>
      </c>
    </row>
    <row r="4">
      <c r="A4" s="4" t="inlineStr">
        <is>
          <t>SK_MAG_01</t>
        </is>
      </c>
      <c r="B4" s="4" t="inlineStr">
        <is>
          <t>Raio Místico</t>
        </is>
      </c>
      <c r="C4" s="4" t="inlineStr">
        <is>
          <t>Mago</t>
        </is>
      </c>
      <c r="D4" s="4" t="inlineStr">
        <is>
          <t>Ataque</t>
        </is>
      </c>
      <c r="E4" s="4" t="n">
        <v>10</v>
      </c>
      <c r="F4" s="4" t="n">
        <v>0.85</v>
      </c>
      <c r="G4" s="4" t="n">
        <v>4</v>
      </c>
      <c r="H4" s="4" t="inlineStr">
        <is>
          <t>Inimigo</t>
        </is>
      </c>
      <c r="I4" s="4" t="inlineStr"/>
      <c r="J4" s="4" t="inlineStr">
        <is>
          <t>Dano mágico à distância.</t>
        </is>
      </c>
    </row>
    <row r="5">
      <c r="A5" s="4" t="inlineStr">
        <is>
          <t>SK_MAG_02</t>
        </is>
      </c>
      <c r="B5" s="4" t="inlineStr">
        <is>
          <t>Névoa Lenta</t>
        </is>
      </c>
      <c r="C5" s="4" t="inlineStr">
        <is>
          <t>Mago</t>
        </is>
      </c>
      <c r="D5" s="4" t="inlineStr">
        <is>
          <t>Controle</t>
        </is>
      </c>
      <c r="E5" s="4" t="n">
        <v>4</v>
      </c>
      <c r="F5" s="4" t="n">
        <v>0.9</v>
      </c>
      <c r="G5" s="4" t="n">
        <v>3</v>
      </c>
      <c r="H5" s="4" t="inlineStr">
        <is>
          <t>Área</t>
        </is>
      </c>
      <c r="I5" s="4" t="inlineStr">
        <is>
          <t>Enraizado</t>
        </is>
      </c>
      <c r="J5" s="4" t="inlineStr">
        <is>
          <t>Reduz ação/movimento por 1 turno.</t>
        </is>
      </c>
    </row>
    <row r="6">
      <c r="A6" s="4" t="inlineStr">
        <is>
          <t>SK_HEA_01</t>
        </is>
      </c>
      <c r="B6" s="4" t="inlineStr">
        <is>
          <t>Sopro Calmante</t>
        </is>
      </c>
      <c r="C6" s="4" t="inlineStr">
        <is>
          <t>Curandeiro</t>
        </is>
      </c>
      <c r="D6" s="4" t="inlineStr">
        <is>
          <t>Cura</t>
        </is>
      </c>
      <c r="E6" s="4" t="n">
        <v>0</v>
      </c>
      <c r="F6" s="4" t="n">
        <v>1</v>
      </c>
      <c r="G6" s="4" t="n">
        <v>4</v>
      </c>
      <c r="H6" s="4" t="inlineStr">
        <is>
          <t>Aliado</t>
        </is>
      </c>
      <c r="I6" s="4" t="inlineStr"/>
      <c r="J6" s="4" t="inlineStr">
        <is>
          <t>Cura moderada.</t>
        </is>
      </c>
    </row>
    <row r="7">
      <c r="A7" s="4" t="inlineStr">
        <is>
          <t>SK_HEA_02</t>
        </is>
      </c>
      <c r="B7" s="4" t="inlineStr">
        <is>
          <t>Barreira Suave</t>
        </is>
      </c>
      <c r="C7" s="4" t="inlineStr">
        <is>
          <t>Curandeiro</t>
        </is>
      </c>
      <c r="D7" s="4" t="inlineStr">
        <is>
          <t>Suporte</t>
        </is>
      </c>
      <c r="E7" s="4" t="n">
        <v>0</v>
      </c>
      <c r="F7" s="4" t="n">
        <v>1</v>
      </c>
      <c r="G7" s="4" t="n">
        <v>3</v>
      </c>
      <c r="H7" s="4" t="inlineStr">
        <is>
          <t>Aliado</t>
        </is>
      </c>
      <c r="I7" s="4" t="inlineStr">
        <is>
          <t>Protegido</t>
        </is>
      </c>
      <c r="J7" s="4" t="inlineStr">
        <is>
          <t>Aumenta defesa por 2 turnos.</t>
        </is>
      </c>
    </row>
    <row r="8">
      <c r="A8" s="4" t="inlineStr">
        <is>
          <t>SK_HUN_01</t>
        </is>
      </c>
      <c r="B8" s="4" t="inlineStr">
        <is>
          <t>Flecha Rápida</t>
        </is>
      </c>
      <c r="C8" s="4" t="inlineStr">
        <is>
          <t>Caçador</t>
        </is>
      </c>
      <c r="D8" s="4" t="inlineStr">
        <is>
          <t>Ataque</t>
        </is>
      </c>
      <c r="E8" s="4" t="n">
        <v>8</v>
      </c>
      <c r="F8" s="4" t="n">
        <v>0.9</v>
      </c>
      <c r="G8" s="4" t="n">
        <v>2</v>
      </c>
      <c r="H8" s="4" t="inlineStr">
        <is>
          <t>Inimigo</t>
        </is>
      </c>
      <c r="I8" s="4" t="inlineStr"/>
      <c r="J8" s="4" t="inlineStr">
        <is>
          <t>Dano consistente à distância.</t>
        </is>
      </c>
    </row>
    <row r="9">
      <c r="A9" s="4" t="inlineStr">
        <is>
          <t>SK_BRD_01</t>
        </is>
      </c>
      <c r="B9" s="4" t="inlineStr">
        <is>
          <t>Canção de Coragem</t>
        </is>
      </c>
      <c r="C9" s="4" t="inlineStr">
        <is>
          <t>Bardo</t>
        </is>
      </c>
      <c r="D9" s="4" t="inlineStr">
        <is>
          <t>Suporte</t>
        </is>
      </c>
      <c r="E9" s="4" t="n">
        <v>0</v>
      </c>
      <c r="F9" s="4" t="n">
        <v>1</v>
      </c>
      <c r="G9" s="4" t="n">
        <v>3</v>
      </c>
      <c r="H9" s="4" t="inlineStr">
        <is>
          <t>Área</t>
        </is>
      </c>
      <c r="I9" s="4" t="inlineStr">
        <is>
          <t>Fortalecido</t>
        </is>
      </c>
      <c r="J9" s="4" t="inlineStr">
        <is>
          <t>Buff de ataque para aliados.</t>
        </is>
      </c>
    </row>
  </sheetData>
  <dataValidations count="4">
    <dataValidation sqref="C2:C500" showDropDown="0" showInputMessage="0" showErrorMessage="0" allowBlank="1" type="list">
      <formula1>=_DV!$A$2:$A$9</formula1>
    </dataValidation>
    <dataValidation sqref="D2:D500" showDropDown="0" showInputMessage="0" showErrorMessage="0" allowBlank="1" type="list">
      <formula1>=_DV!$E$2:$E$5</formula1>
    </dataValidation>
    <dataValidation sqref="H2:H500" showDropDown="0" showInputMessage="0" showErrorMessage="0" allowBlank="1" type="list">
      <formula1>=_DV!$D$2:$D$5</formula1>
    </dataValidation>
    <dataValidation sqref="I2:I500" showDropDown="0" showInputMessage="0" showErrorMessage="0" allowBlank="1" type="list">
      <formula1>=_DV!$I$2:$I$9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10" customWidth="1" min="5" max="5"/>
    <col width="10" customWidth="1" min="6" max="6"/>
    <col width="28" customWidth="1" min="7" max="7"/>
    <col width="64" customWidth="1" min="8" max="8"/>
  </cols>
  <sheetData>
    <row r="1">
      <c r="A1" s="1" t="inlineStr">
        <is>
          <t>item_id</t>
        </is>
      </c>
      <c r="B1" s="1" t="inlineStr">
        <is>
          <t>nome</t>
        </is>
      </c>
      <c r="C1" s="1" t="inlineStr">
        <is>
          <t>tipo_item</t>
        </is>
      </c>
      <c r="D1" s="1" t="inlineStr">
        <is>
          <t>raridade</t>
        </is>
      </c>
      <c r="E1" s="1" t="inlineStr">
        <is>
          <t>stack_max</t>
        </is>
      </c>
      <c r="F1" s="1" t="inlineStr">
        <is>
          <t>preco</t>
        </is>
      </c>
      <c r="G1" s="1" t="inlineStr">
        <is>
          <t>efeito_resumo</t>
        </is>
      </c>
      <c r="H1" s="1" t="inlineStr">
        <is>
          <t>efeito_detalhe</t>
        </is>
      </c>
      <c r="I1" t="inlineStr">
        <is>
          <t>capture_threshold_bonus</t>
        </is>
      </c>
      <c r="J1" t="inlineStr">
        <is>
          <t>notes</t>
        </is>
      </c>
    </row>
    <row r="2">
      <c r="A2" s="4" t="inlineStr">
        <is>
          <t>IT_CAP_01</t>
        </is>
      </c>
      <c r="B2" s="4" t="inlineStr">
        <is>
          <t>Orbe de Captura</t>
        </is>
      </c>
      <c r="C2" s="4" t="inlineStr">
        <is>
          <t>Captura</t>
        </is>
      </c>
      <c r="D2" s="4" t="inlineStr">
        <is>
          <t>Comum</t>
        </is>
      </c>
      <c r="E2" s="4" t="n">
        <v>99</v>
      </c>
      <c r="F2" s="4" t="n">
        <v>50</v>
      </c>
      <c r="G2" s="4" t="inlineStr">
        <is>
          <t>Tenta capturar um monstrinho.</t>
        </is>
      </c>
      <c r="H2" s="4" t="inlineStr">
        <is>
          <t>Usa taxa base de captura + bônus por HP baixo. Consumível.</t>
        </is>
      </c>
      <c r="I2" s="6" t="n">
        <v>0</v>
      </c>
      <c r="J2" t="inlineStr">
        <is>
          <t>Aumenta o limite de HP% permitido para captura (sem dado).</t>
        </is>
      </c>
    </row>
    <row r="3">
      <c r="A3" s="4" t="inlineStr">
        <is>
          <t>IT_CAP_02</t>
        </is>
      </c>
      <c r="B3" s="4" t="inlineStr">
        <is>
          <t>Orbe Reforçado</t>
        </is>
      </c>
      <c r="C3" s="4" t="inlineStr">
        <is>
          <t>Captura</t>
        </is>
      </c>
      <c r="D3" s="4" t="inlineStr">
        <is>
          <t>Incomum</t>
        </is>
      </c>
      <c r="E3" s="4" t="n">
        <v>99</v>
      </c>
      <c r="F3" s="4" t="n">
        <v>120</v>
      </c>
      <c r="G3" s="4" t="inlineStr">
        <is>
          <t>Melhor chance de captura.</t>
        </is>
      </c>
      <c r="H3" s="4" t="inlineStr">
        <is>
          <t>+0.15 na chance final (antes do limite). Consumível.</t>
        </is>
      </c>
      <c r="I3" s="6" t="n">
        <v>0.08</v>
      </c>
      <c r="J3" t="inlineStr">
        <is>
          <t>Aumenta o limite de HP% permitido para captura (sem dado).</t>
        </is>
      </c>
    </row>
    <row r="4">
      <c r="A4" s="4" t="inlineStr">
        <is>
          <t>IT_HEAL_01</t>
        </is>
      </c>
      <c r="B4" s="4" t="inlineStr">
        <is>
          <t>Petisco de Cura</t>
        </is>
      </c>
      <c r="C4" s="4" t="inlineStr">
        <is>
          <t>Cura</t>
        </is>
      </c>
      <c r="D4" s="4" t="inlineStr">
        <is>
          <t>Comum</t>
        </is>
      </c>
      <c r="E4" s="4" t="n">
        <v>99</v>
      </c>
      <c r="F4" s="4" t="n">
        <v>30</v>
      </c>
      <c r="G4" s="4" t="inlineStr">
        <is>
          <t>Cura 25% do HP.</t>
        </is>
      </c>
      <c r="H4" s="4" t="inlineStr">
        <is>
          <t>Cura instantânea, não remove status.</t>
        </is>
      </c>
    </row>
    <row r="5">
      <c r="A5" s="4" t="inlineStr">
        <is>
          <t>IT_REV_01</t>
        </is>
      </c>
      <c r="B5" s="4" t="inlineStr">
        <is>
          <t>Pena Reviva</t>
        </is>
      </c>
      <c r="C5" s="4" t="inlineStr">
        <is>
          <t>Reviver</t>
        </is>
      </c>
      <c r="D5" s="4" t="inlineStr">
        <is>
          <t>Raro</t>
        </is>
      </c>
      <c r="E5" s="4" t="n">
        <v>10</v>
      </c>
      <c r="F5" s="4" t="n">
        <v>300</v>
      </c>
      <c r="G5" s="4" t="inlineStr">
        <is>
          <t>Revive após derrota.</t>
        </is>
      </c>
      <c r="H5" s="4" t="inlineStr">
        <is>
          <t>Restaura 40% do HP do monstrinho derrotado.</t>
        </is>
      </c>
    </row>
    <row r="6">
      <c r="A6" s="4" t="inlineStr">
        <is>
          <t>IT_KEY_01</t>
        </is>
      </c>
      <c r="B6" s="4" t="inlineStr">
        <is>
          <t>Selo do Mestre</t>
        </is>
      </c>
      <c r="C6" s="4" t="inlineStr">
        <is>
          <t>Chave</t>
        </is>
      </c>
      <c r="D6" s="4" t="inlineStr">
        <is>
          <t>Lendário</t>
        </is>
      </c>
      <c r="E6" s="4" t="n">
        <v>1</v>
      </c>
      <c r="F6" s="4" t="n">
        <v>0</v>
      </c>
      <c r="G6" s="4" t="inlineStr">
        <is>
          <t>Libera captura multi-classe.</t>
        </is>
      </c>
      <c r="H6" s="4" t="inlineStr">
        <is>
          <t>Item de história: permite capturar monstros de qualquer classe quando ativo.</t>
        </is>
      </c>
    </row>
  </sheetData>
  <dataValidations count="2">
    <dataValidation sqref="C2:C500" showDropDown="0" showInputMessage="0" showErrorMessage="0" allowBlank="1" type="list">
      <formula1>=_DV!$F$2:$F$7</formula1>
    </dataValidation>
    <dataValidation sqref="D2:D500" showDropDown="0" showInputMessage="0" showErrorMessage="0" allowBlank="1" type="list">
      <formula1>=_DV!$B$2:$B$6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6" customWidth="1" min="3" max="3"/>
    <col width="18" customWidth="1" min="4" max="4"/>
    <col width="44" customWidth="1" min="5" max="5"/>
  </cols>
  <sheetData>
    <row r="1">
      <c r="A1" s="1" t="inlineStr">
        <is>
          <t>local_id</t>
        </is>
      </c>
      <c r="B1" s="1" t="inlineStr">
        <is>
          <t>nome</t>
        </is>
      </c>
      <c r="C1" s="1" t="inlineStr">
        <is>
          <t>descricao</t>
        </is>
      </c>
      <c r="D1" s="1" t="inlineStr">
        <is>
          <t>nivel_recomendado</t>
        </is>
      </c>
      <c r="E1" s="1" t="inlineStr">
        <is>
          <t>notes</t>
        </is>
      </c>
    </row>
    <row r="2">
      <c r="A2" s="4" t="inlineStr">
        <is>
          <t>LOC_001</t>
        </is>
      </c>
      <c r="B2" s="4" t="inlineStr">
        <is>
          <t>Campina Inicial</t>
        </is>
      </c>
      <c r="C2" s="4" t="inlineStr">
        <is>
          <t>Área segura para aprender captura e batalha.</t>
        </is>
      </c>
      <c r="D2" s="4" t="inlineStr">
        <is>
          <t>1-4</t>
        </is>
      </c>
      <c r="E2" s="4" t="inlineStr">
        <is>
          <t>Local tutorial.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0" customWidth="1" min="5" max="5"/>
    <col width="56" customWidth="1" min="6" max="6"/>
  </cols>
  <sheetData>
    <row r="1">
      <c r="A1" s="1" t="inlineStr">
        <is>
          <t>drop_table_id</t>
        </is>
      </c>
      <c r="B1" s="1" t="inlineStr">
        <is>
          <t>item_id</t>
        </is>
      </c>
      <c r="C1" s="1" t="inlineStr">
        <is>
          <t>chance</t>
        </is>
      </c>
      <c r="D1" s="1" t="inlineStr">
        <is>
          <t>min_qty</t>
        </is>
      </c>
      <c r="E1" s="1" t="inlineStr">
        <is>
          <t>max_qty</t>
        </is>
      </c>
      <c r="F1" s="1" t="inlineStr">
        <is>
          <t>notes</t>
        </is>
      </c>
    </row>
    <row r="2">
      <c r="A2" s="4" t="inlineStr">
        <is>
          <t>DROP_001</t>
        </is>
      </c>
      <c r="B2" s="4" t="inlineStr">
        <is>
          <t>IT_CAP_01</t>
        </is>
      </c>
      <c r="C2" s="4" t="n">
        <v>0.35</v>
      </c>
      <c r="D2" s="4" t="n">
        <v>1</v>
      </c>
      <c r="E2" s="4" t="n">
        <v>1</v>
      </c>
      <c r="F2" s="4" t="inlineStr">
        <is>
          <t>Orbe comum em encontro selvagem.</t>
        </is>
      </c>
    </row>
    <row r="3">
      <c r="A3" s="4" t="inlineStr">
        <is>
          <t>DROP_001</t>
        </is>
      </c>
      <c r="B3" s="4" t="inlineStr">
        <is>
          <t>IT_HEAL_01</t>
        </is>
      </c>
      <c r="C3" s="4" t="n">
        <v>0.25</v>
      </c>
      <c r="D3" s="4" t="n">
        <v>1</v>
      </c>
      <c r="E3" s="4" t="n">
        <v>2</v>
      </c>
      <c r="F3" s="4" t="inlineStr">
        <is>
          <t>Petisco de cura.</t>
        </is>
      </c>
    </row>
    <row r="4">
      <c r="A4" s="4" t="inlineStr">
        <is>
          <t>DROP_002</t>
        </is>
      </c>
      <c r="B4" s="4" t="inlineStr">
        <is>
          <t>IT_CAP_01</t>
        </is>
      </c>
      <c r="C4" s="4" t="n">
        <v>0.5</v>
      </c>
      <c r="D4" s="4" t="n">
        <v>1</v>
      </c>
      <c r="E4" s="4" t="n">
        <v>2</v>
      </c>
      <c r="F4" s="4" t="inlineStr">
        <is>
          <t>Treinador dá itens básicos.</t>
        </is>
      </c>
    </row>
    <row r="5">
      <c r="A5" s="4" t="inlineStr">
        <is>
          <t>DROP_002</t>
        </is>
      </c>
      <c r="B5" s="4" t="inlineStr">
        <is>
          <t>IT_HEAL_01</t>
        </is>
      </c>
      <c r="C5" s="4" t="n">
        <v>0.4</v>
      </c>
      <c r="D5" s="4" t="n">
        <v>1</v>
      </c>
      <c r="E5" s="4" t="n">
        <v>2</v>
      </c>
      <c r="F5" s="4" t="inlineStr">
        <is>
          <t>Cura para continuar.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44" customWidth="1" min="13" max="13"/>
  </cols>
  <sheetData>
    <row r="1">
      <c r="A1" s="1" t="inlineStr">
        <is>
          <t>encounter_id</t>
        </is>
      </c>
      <c r="B1" s="1" t="inlineStr">
        <is>
          <t>tipo_encontro</t>
        </is>
      </c>
      <c r="C1" s="1" t="inlineStr">
        <is>
          <t>local_id</t>
        </is>
      </c>
      <c r="D1" s="1" t="inlineStr">
        <is>
          <t>periodo</t>
        </is>
      </c>
      <c r="E1" s="1" t="inlineStr">
        <is>
          <t>min_level</t>
        </is>
      </c>
      <c r="F1" s="1" t="inlineStr">
        <is>
          <t>max_level</t>
        </is>
      </c>
      <c r="G1" s="1" t="inlineStr">
        <is>
          <t>monster_id_1</t>
        </is>
      </c>
      <c r="H1" s="1" t="inlineStr">
        <is>
          <t>monster_id_2</t>
        </is>
      </c>
      <c r="I1" s="1" t="inlineStr">
        <is>
          <t>monster_id_3</t>
        </is>
      </c>
      <c r="J1" s="1" t="inlineStr">
        <is>
          <t>recomp_xp</t>
        </is>
      </c>
      <c r="K1" s="1" t="inlineStr">
        <is>
          <t>recomp_gold</t>
        </is>
      </c>
      <c r="L1" s="1" t="inlineStr">
        <is>
          <t>drop_table_id</t>
        </is>
      </c>
      <c r="M1" s="1" t="inlineStr">
        <is>
          <t>notes</t>
        </is>
      </c>
    </row>
    <row r="2">
      <c r="A2" s="4" t="inlineStr">
        <is>
          <t>ENC_001</t>
        </is>
      </c>
      <c r="B2" s="4" t="inlineStr">
        <is>
          <t>Selvagem</t>
        </is>
      </c>
      <c r="C2" s="4" t="inlineStr">
        <is>
          <t>LOC_001</t>
        </is>
      </c>
      <c r="D2" s="4" t="inlineStr">
        <is>
          <t>Qualquer</t>
        </is>
      </c>
      <c r="E2" s="4" t="n">
        <v>1</v>
      </c>
      <c r="F2" s="4" t="n">
        <v>3</v>
      </c>
      <c r="G2" s="4" t="inlineStr">
        <is>
          <t>MON_100</t>
        </is>
      </c>
      <c r="H2" s="4" t="inlineStr"/>
      <c r="I2" s="4" t="inlineStr"/>
      <c r="J2" s="4" t="n">
        <v>30</v>
      </c>
      <c r="K2" s="4" t="n">
        <v>20</v>
      </c>
      <c r="L2" s="4" t="inlineStr">
        <is>
          <t>DROP_001</t>
        </is>
      </c>
      <c r="M2" s="4" t="inlineStr">
        <is>
          <t>Encontro tutorial: 1 monstro selvagem.</t>
        </is>
      </c>
    </row>
    <row r="3">
      <c r="A3" s="4" t="inlineStr">
        <is>
          <t>ENC_002</t>
        </is>
      </c>
      <c r="B3" s="4" t="inlineStr">
        <is>
          <t>Treinador</t>
        </is>
      </c>
      <c r="C3" s="4" t="inlineStr">
        <is>
          <t>LOC_001</t>
        </is>
      </c>
      <c r="D3" s="4" t="inlineStr">
        <is>
          <t>Qualquer</t>
        </is>
      </c>
      <c r="E3" s="4" t="n">
        <v>2</v>
      </c>
      <c r="F3" s="4" t="n">
        <v>4</v>
      </c>
      <c r="G3" s="4" t="inlineStr">
        <is>
          <t>MON_100</t>
        </is>
      </c>
      <c r="H3" s="4" t="inlineStr">
        <is>
          <t>MON_100</t>
        </is>
      </c>
      <c r="I3" s="4" t="inlineStr"/>
      <c r="J3" s="4" t="n">
        <v>60</v>
      </c>
      <c r="K3" s="4" t="n">
        <v>40</v>
      </c>
      <c r="L3" s="4" t="inlineStr">
        <is>
          <t>DROP_002</t>
        </is>
      </c>
      <c r="M3" s="4" t="inlineStr">
        <is>
          <t>Treinador novato com 2 monstros.</t>
        </is>
      </c>
    </row>
  </sheetData>
  <dataValidations count="2">
    <dataValidation sqref="B2:B500" showDropDown="0" showInputMessage="0" showErrorMessage="0" allowBlank="1" type="list">
      <formula1>=_DV!$G$2:$G$4</formula1>
    </dataValidation>
    <dataValidation sqref="D2:D500" showDropDown="0" showInputMessage="0" showErrorMessage="0" allowBlank="1" type="list">
      <formula1>=_DV!$H$2:$H$5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74" customWidth="1" min="3" max="3"/>
    <col width="12" customWidth="1" min="4" max="4"/>
    <col width="16" customWidth="1" min="5" max="5"/>
    <col width="12" customWidth="1" min="6" max="6"/>
    <col width="12" customWidth="1" min="7" max="7"/>
    <col width="14" customWidth="1" min="8" max="8"/>
    <col width="14" customWidth="1" min="9" max="9"/>
    <col width="44" customWidth="1" min="10" max="10"/>
  </cols>
  <sheetData>
    <row r="1">
      <c r="A1" s="1" t="inlineStr">
        <is>
          <t>quest_id</t>
        </is>
      </c>
      <c r="B1" s="1" t="inlineStr">
        <is>
          <t>nome</t>
        </is>
      </c>
      <c r="C1" s="1" t="inlineStr">
        <is>
          <t>descricao</t>
        </is>
      </c>
      <c r="D1" s="1" t="inlineStr">
        <is>
          <t>local_id</t>
        </is>
      </c>
      <c r="E1" s="1" t="inlineStr">
        <is>
          <t>pre_req</t>
        </is>
      </c>
      <c r="F1" s="1" t="inlineStr">
        <is>
          <t>reward_xp</t>
        </is>
      </c>
      <c r="G1" s="1" t="inlineStr">
        <is>
          <t>reward_gold</t>
        </is>
      </c>
      <c r="H1" s="1" t="inlineStr">
        <is>
          <t>reward_item_id</t>
        </is>
      </c>
      <c r="I1" s="1" t="inlineStr">
        <is>
          <t>next_quest_id</t>
        </is>
      </c>
      <c r="J1" s="1" t="inlineStr">
        <is>
          <t>notes</t>
        </is>
      </c>
    </row>
    <row r="2">
      <c r="A2" s="4" t="inlineStr">
        <is>
          <t>QST_001</t>
        </is>
      </c>
      <c r="B2" s="4" t="inlineStr">
        <is>
          <t>O Ovo Perdido</t>
        </is>
      </c>
      <c r="C2" s="4" t="inlineStr">
        <is>
          <t>Encontre o Ovo Perdido na Campina Inicial e vença o Treinador Novato.</t>
        </is>
      </c>
      <c r="D2" s="4" t="inlineStr">
        <is>
          <t>LOC_001</t>
        </is>
      </c>
      <c r="E2" s="4" t="inlineStr"/>
      <c r="F2" s="4" t="n">
        <v>80</v>
      </c>
      <c r="G2" s="4" t="n">
        <v>60</v>
      </c>
      <c r="H2" s="4" t="inlineStr">
        <is>
          <t>IT_CAP_02</t>
        </is>
      </c>
      <c r="I2" s="4" t="inlineStr">
        <is>
          <t>QST_002</t>
        </is>
      </c>
      <c r="J2" s="4" t="inlineStr">
        <is>
          <t>Quest tutorial: ensina andar→combate→recompensa.</t>
        </is>
      </c>
    </row>
    <row r="3">
      <c r="A3" s="4" t="inlineStr">
        <is>
          <t>QST_002</t>
        </is>
      </c>
      <c r="B3" s="4" t="inlineStr">
        <is>
          <t>Primeira Captura</t>
        </is>
      </c>
      <c r="C3" s="4" t="inlineStr">
        <is>
          <t>Capture 1 monstrinho selvagem na Campina Inicial.</t>
        </is>
      </c>
      <c r="D3" s="4" t="inlineStr">
        <is>
          <t>LOC_001</t>
        </is>
      </c>
      <c r="E3" s="4" t="inlineStr">
        <is>
          <t>QST_001</t>
        </is>
      </c>
      <c r="F3" s="4" t="n">
        <v>60</v>
      </c>
      <c r="G3" s="4" t="n">
        <v>40</v>
      </c>
      <c r="H3" s="4" t="inlineStr">
        <is>
          <t>IT_HEAL_01</t>
        </is>
      </c>
      <c r="I3" s="4" t="inlineStr"/>
      <c r="J3" s="4" t="inlineStr">
        <is>
          <t>Encaminha para loop principal.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64" customWidth="1" min="4" max="4"/>
    <col width="18" customWidth="1" min="5" max="5"/>
    <col width="44" customWidth="1" min="6" max="6"/>
  </cols>
  <sheetData>
    <row r="1">
      <c r="A1" s="1" t="inlineStr">
        <is>
          <t>control_key</t>
        </is>
      </c>
      <c r="B1" s="1" t="inlineStr">
        <is>
          <t>value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safe_range</t>
        </is>
      </c>
      <c r="F1" s="1" t="inlineStr">
        <is>
          <t>notes</t>
        </is>
      </c>
    </row>
    <row r="2">
      <c r="A2" s="4" t="inlineStr">
        <is>
          <t>debug_allow_cross_class_battle</t>
        </is>
      </c>
      <c r="B2" s="4" t="b">
        <v>0</v>
      </c>
      <c r="C2" s="4" t="inlineStr">
        <is>
          <t>bool</t>
        </is>
      </c>
      <c r="D2" s="4" t="inlineStr">
        <is>
          <t>Permite usar monstros de outras classes em batalha (DEBUG/plot). Captura continua livre.</t>
        </is>
      </c>
      <c r="E2" s="4" t="inlineStr">
        <is>
          <t>FALSE/TRUE</t>
        </is>
      </c>
      <c r="F2" s="4" t="inlineStr">
        <is>
          <t>Use só quando quiser quebrar a regra de troca entre jogadores.</t>
        </is>
      </c>
    </row>
    <row r="3">
      <c r="A3" s="4" t="inlineStr">
        <is>
          <t>force_encounter_id</t>
        </is>
      </c>
      <c r="B3" s="4" t="inlineStr"/>
      <c r="C3" s="4" t="inlineStr">
        <is>
          <t>text</t>
        </is>
      </c>
      <c r="D3" s="4" t="inlineStr">
        <is>
          <t>Se preenchido, força um encontro específico (ex.: ENC_001).</t>
        </is>
      </c>
      <c r="E3" s="4" t="inlineStr">
        <is>
          <t>ID</t>
        </is>
      </c>
      <c r="F3" s="4" t="inlineStr"/>
    </row>
    <row r="4">
      <c r="A4" s="4" t="inlineStr">
        <is>
          <t>xp_multiplier</t>
        </is>
      </c>
      <c r="B4" s="4">
        <f>VLOOKUP("master_xp_multiplier",CONFIG!A:B,2,FALSE)</f>
        <v/>
      </c>
      <c r="C4" s="4" t="inlineStr">
        <is>
          <t>float</t>
        </is>
      </c>
      <c r="D4" s="4" t="inlineStr">
        <is>
          <t>Multiplicador global de XP.</t>
        </is>
      </c>
      <c r="E4" s="4" t="inlineStr">
        <is>
          <t>0.2–5.0</t>
        </is>
      </c>
      <c r="F4" s="4" t="inlineStr">
        <is>
          <t>Referência do CONFIG.</t>
        </is>
      </c>
    </row>
    <row r="5">
      <c r="A5" s="4" t="inlineStr">
        <is>
          <t>enemy_stat_multiplier</t>
        </is>
      </c>
      <c r="B5" s="4">
        <f>VLOOKUP("master_enemy_stat_multiplier",CONFIG!A:B,2,FALSE)</f>
        <v/>
      </c>
      <c r="C5" s="4" t="inlineStr">
        <is>
          <t>float</t>
        </is>
      </c>
      <c r="D5" s="4" t="inlineStr">
        <is>
          <t>Multiplicador global de stats inimigos.</t>
        </is>
      </c>
      <c r="E5" s="4" t="inlineStr">
        <is>
          <t>0.5–3.0</t>
        </is>
      </c>
      <c r="F5" s="4" t="inlineStr">
        <is>
          <t>Referência do CONFIG.</t>
        </is>
      </c>
    </row>
    <row r="6">
      <c r="A6" s="4" t="inlineStr">
        <is>
          <t>capture_multiplier</t>
        </is>
      </c>
      <c r="B6" s="4">
        <f>VLOOKUP("master_capture_multiplier",CONFIG!A:B,2,FALSE)</f>
        <v/>
      </c>
      <c r="C6" s="4" t="inlineStr">
        <is>
          <t>float</t>
        </is>
      </c>
      <c r="D6" s="4" t="inlineStr">
        <is>
          <t>Multiplicador global de captura.</t>
        </is>
      </c>
      <c r="E6" s="4" t="inlineStr">
        <is>
          <t>0.2–3.0</t>
        </is>
      </c>
      <c r="F6" s="4" t="inlineStr">
        <is>
          <t>Referência do CONFIG.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4" customWidth="1" min="2" max="2"/>
    <col width="16" customWidth="1" min="3" max="3"/>
    <col width="16" customWidth="1" min="4" max="4"/>
    <col width="34" customWidth="1" min="5" max="5"/>
    <col width="12" customWidth="1" min="6" max="6"/>
    <col width="40" customWidth="1" min="7" max="7"/>
    <col width="44" customWidth="1" min="8" max="8"/>
    <col width="44" customWidth="1" min="9" max="9"/>
  </cols>
  <sheetData>
    <row r="1">
      <c r="A1" s="1" t="inlineStr">
        <is>
          <t>test_id</t>
        </is>
      </c>
      <c r="B1" s="1" t="inlineStr">
        <is>
          <t>descricao</t>
        </is>
      </c>
      <c r="C1" s="1" t="inlineStr">
        <is>
          <t>player_class</t>
        </is>
      </c>
      <c r="D1" s="1" t="inlineStr">
        <is>
          <t>starter_monster_id</t>
        </is>
      </c>
      <c r="E1" s="1" t="inlineStr">
        <is>
          <t>start_items</t>
        </is>
      </c>
      <c r="F1" s="1" t="inlineStr">
        <is>
          <t>quest_id</t>
        </is>
      </c>
      <c r="G1" s="1" t="inlineStr">
        <is>
          <t>encounter_sequence</t>
        </is>
      </c>
      <c r="H1" s="1" t="inlineStr">
        <is>
          <t>expected_outcome</t>
        </is>
      </c>
      <c r="I1" s="1" t="inlineStr">
        <is>
          <t>notes</t>
        </is>
      </c>
    </row>
    <row r="2">
      <c r="A2" s="4" t="inlineStr">
        <is>
          <t>TST_001</t>
        </is>
      </c>
      <c r="B2" s="4" t="inlineStr">
        <is>
          <t>Tutorial completo: iniciar → aceitar QST_001 → enfrentar ENC_002 → receber recompensa → tentar captura em ENC_001.</t>
        </is>
      </c>
      <c r="C2" s="4" t="inlineStr">
        <is>
          <t>Guerreiro</t>
        </is>
      </c>
      <c r="D2" s="4" t="inlineStr">
        <is>
          <t>MON_002</t>
        </is>
      </c>
      <c r="E2" s="4" t="inlineStr">
        <is>
          <t>IT_CAP_01;IT_HEAL_01</t>
        </is>
      </c>
      <c r="F2" s="4" t="inlineStr">
        <is>
          <t>QST_001</t>
        </is>
      </c>
      <c r="G2" s="4" t="inlineStr">
        <is>
          <t>ENC_002 -&gt; ENC_001</t>
        </is>
      </c>
      <c r="H2" s="4" t="inlineStr">
        <is>
          <t>Após vencer ENC_002, jogador recebe IT_CAP_02 e tenta capturar MON_100 com IT_CAP_01.</t>
        </is>
      </c>
      <c r="I2" s="4" t="inlineStr">
        <is>
          <t>Se estiver difícil, aumente master_capture_multiplier ou reduza master_enemy_stat_multiplier.</t>
        </is>
      </c>
    </row>
  </sheetData>
  <dataValidations count="1">
    <dataValidation sqref="C2:C200" showDropDown="0" showInputMessage="0" showErrorMessage="0" allowBlank="1" type="list">
      <formula1>=_DV!$A$2:$A$9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80" customWidth="1" min="4" max="4"/>
  </cols>
  <sheetData>
    <row r="1">
      <c r="A1" t="inlineStr">
        <is>
          <t>section</t>
        </is>
      </c>
      <c r="B1" t="inlineStr">
        <is>
          <t>key</t>
        </is>
      </c>
      <c r="C1" t="inlineStr">
        <is>
          <t>value_formula</t>
        </is>
      </c>
      <c r="D1" t="inlineStr">
        <is>
          <t>explanation</t>
        </is>
      </c>
    </row>
    <row r="2">
      <c r="A2" t="inlineStr">
        <is>
          <t>BATALHA</t>
        </is>
      </c>
      <c r="B2" t="inlineStr">
        <is>
          <t>Acerto</t>
        </is>
      </c>
      <c r="C2" t="inlineStr">
        <is>
          <t>d20 + ATK &gt;= DEF</t>
        </is>
      </c>
      <c r="D2" t="inlineStr">
        <is>
          <t>Use d20 físico. Se passou, acertou.</t>
        </is>
      </c>
    </row>
    <row r="3">
      <c r="A3" t="inlineStr">
        <is>
          <t>BATALHA</t>
        </is>
      </c>
      <c r="B3" t="inlineStr">
        <is>
          <t>Dano_reduzido</t>
        </is>
      </c>
      <c r="C3" t="inlineStr">
        <is>
          <t>MAX(1, ATK + PODER - DEF)</t>
        </is>
      </c>
      <c r="D3" t="inlineStr">
        <is>
          <t>Dano mínimo 1. PODER é do golpe/habilidade.</t>
        </is>
      </c>
    </row>
    <row r="4">
      <c r="A4" t="inlineStr">
        <is>
          <t>BATALHA</t>
        </is>
      </c>
      <c r="B4" t="inlineStr">
        <is>
          <t>Classe_em_batalha</t>
        </is>
      </c>
      <c r="C4" t="inlineStr">
        <is>
          <t>SelfOnly</t>
        </is>
      </c>
      <c r="D4" t="inlineStr">
        <is>
          <t>Jogador só pode usar monstros da sua própria classe em batalha (trocas entre jogadores).</t>
        </is>
      </c>
    </row>
    <row r="5">
      <c r="A5" t="inlineStr">
        <is>
          <t>CAPTURA</t>
        </is>
      </c>
      <c r="B5" t="inlineStr">
        <is>
          <t>Sem_dado</t>
        </is>
      </c>
      <c r="C5" t="inlineStr">
        <is>
          <t>TRUE</t>
        </is>
      </c>
      <c r="D5" t="inlineStr">
        <is>
          <t>Captura não usa d20. É uma checagem automática pelo HP% e modificadores.</t>
        </is>
      </c>
    </row>
    <row r="6">
      <c r="A6" t="inlineStr">
        <is>
          <t>CAPTURA</t>
        </is>
      </c>
      <c r="B6" t="inlineStr">
        <is>
          <t>HP_percent</t>
        </is>
      </c>
      <c r="C6" t="inlineStr">
        <is>
          <t>hp_atual / hp_max</t>
        </is>
      </c>
      <c r="D6" t="inlineStr">
        <is>
          <t>Calcule a porcentagem de HP atual do alvo.</t>
        </is>
      </c>
    </row>
    <row r="7">
      <c r="A7" t="inlineStr">
        <is>
          <t>CAPTURA</t>
        </is>
      </c>
      <c r="B7" t="inlineStr">
        <is>
          <t>Base_threshold</t>
        </is>
      </c>
      <c r="C7" t="inlineStr">
        <is>
          <t>VLOOKUP(raridade, CAPTURE_TABLE!A:B, 2, FALSE)</t>
        </is>
      </c>
      <c r="D7" t="inlineStr">
        <is>
          <t>Limite base por raridade (aba CAPTURE_TABLE).</t>
        </is>
      </c>
    </row>
    <row r="8">
      <c r="A8" t="inlineStr">
        <is>
          <t>CAPTURA</t>
        </is>
      </c>
      <c r="B8" t="inlineStr">
        <is>
          <t>Item_bonus</t>
        </is>
      </c>
      <c r="C8" t="inlineStr">
        <is>
          <t>VLOOKUP(item_id, ITENS!A:I, 9, FALSE)</t>
        </is>
      </c>
      <c r="D8" t="inlineStr">
        <is>
          <t>Bônus do item de captura (coluna capture_threshold_bonus).</t>
        </is>
      </c>
    </row>
    <row r="9">
      <c r="A9" t="inlineStr">
        <is>
          <t>CAPTURA</t>
        </is>
      </c>
      <c r="B9" t="inlineStr">
        <is>
          <t>Status_bonus</t>
        </is>
      </c>
      <c r="C9" t="inlineStr">
        <is>
          <t>0</t>
        </is>
      </c>
      <c r="D9" t="inlineStr">
        <is>
          <t>Opcional: bônus por status (sono/paralisia). Pode virar tabela depois.</t>
        </is>
      </c>
    </row>
    <row r="10">
      <c r="A10" t="inlineStr">
        <is>
          <t>CAPTURA</t>
        </is>
      </c>
      <c r="B10" t="inlineStr">
        <is>
          <t>Threshold_final</t>
        </is>
      </c>
      <c r="C10" t="inlineStr">
        <is>
          <t>MIN(0.95, (Base_threshold + Item_bonus + Status_bonus) * capture_multiplier)</t>
        </is>
      </c>
      <c r="D10" t="inlineStr">
        <is>
          <t>Aplica multiplicador do Mestre (MASTER_CONTROLS).</t>
        </is>
      </c>
    </row>
    <row r="11">
      <c r="A11" t="inlineStr">
        <is>
          <t>CAPTURA</t>
        </is>
      </c>
      <c r="B11" t="inlineStr">
        <is>
          <t>Sucesso</t>
        </is>
      </c>
      <c r="C11" t="inlineStr">
        <is>
          <t>HP_percent &lt;= Threshold_final</t>
        </is>
      </c>
      <c r="D11" t="inlineStr">
        <is>
          <t>Se verdadeiro, captura é bem-sucedida.</t>
        </is>
      </c>
    </row>
    <row r="12">
      <c r="A12" t="inlineStr">
        <is>
          <t>XP</t>
        </is>
      </c>
      <c r="B12" t="inlineStr">
        <is>
          <t>XP_Recebido</t>
        </is>
      </c>
      <c r="C12" t="inlineStr">
        <is>
          <t>xp_base * xp_multiplier</t>
        </is>
      </c>
      <c r="D12" t="inlineStr">
        <is>
          <t>XP base vezes multiplicador do Mestre.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raridade</t>
        </is>
      </c>
      <c r="B1" t="inlineStr">
        <is>
          <t>base_hp_threshold</t>
        </is>
      </c>
      <c r="C1" t="inlineStr">
        <is>
          <t>notes</t>
        </is>
      </c>
    </row>
    <row r="2">
      <c r="A2" t="inlineStr">
        <is>
          <t>Comum</t>
        </is>
      </c>
      <c r="B2" s="6" t="n">
        <v>0.35</v>
      </c>
      <c r="C2" t="inlineStr">
        <is>
          <t>Captura garantida se HP% &lt;= limite final.</t>
        </is>
      </c>
    </row>
    <row r="3">
      <c r="A3" t="inlineStr">
        <is>
          <t>Incomum</t>
        </is>
      </c>
      <c r="B3" s="6" t="n">
        <v>0.3</v>
      </c>
      <c r="C3" t="inlineStr"/>
    </row>
    <row r="4">
      <c r="A4" t="inlineStr">
        <is>
          <t>Raro</t>
        </is>
      </c>
      <c r="B4" s="6" t="n">
        <v>0.22</v>
      </c>
      <c r="C4" t="inlineStr"/>
    </row>
    <row r="5">
      <c r="A5" t="inlineStr">
        <is>
          <t>Místico</t>
        </is>
      </c>
      <c r="B5" s="6" t="n">
        <v>0.15</v>
      </c>
      <c r="C5" t="inlineStr"/>
    </row>
    <row r="6">
      <c r="A6" t="inlineStr">
        <is>
          <t>Lendário</t>
        </is>
      </c>
      <c r="B6" s="6" t="n">
        <v>0.08</v>
      </c>
      <c r="C6" t="inlineStr">
        <is>
          <t>Geralmente só por história; limite bem baixo.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2026-01-25T16:31:35Z</dcterms:created>
  <dcterms:modified xmlns:dcterms="http://purl.org/dc/terms/" xmlns:xsi="http://www.w3.org/2001/XMLSchema-instance" xsi:type="dcterms:W3CDTF">2026-01-25T17:39:41Z</dcterms:modified>
</cp:coreProperties>
</file>